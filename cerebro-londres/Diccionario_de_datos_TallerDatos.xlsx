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6000" windowHeight="21620" tabRatio="600" firstSheet="0" activeTab="0" autoFilterDateGrouping="1"/>
  </bookViews>
  <sheets>
    <sheet xmlns:r="http://schemas.openxmlformats.org/officeDocument/2006/relationships" name="Instrucciones" sheetId="1" state="visible" r:id="rId1"/>
    <sheet xmlns:r="http://schemas.openxmlformats.org/officeDocument/2006/relationships" name="1. Fuentes" sheetId="2" state="visible" r:id="rId2"/>
    <sheet xmlns:r="http://schemas.openxmlformats.org/officeDocument/2006/relationships" name="2. Diccionario" sheetId="3" state="visible" r:id="rId3"/>
    <sheet xmlns:r="http://schemas.openxmlformats.org/officeDocument/2006/relationships" name="3. Bitácora IA" sheetId="4" state="visible" r:id="rId4"/>
    <sheet xmlns:r="http://schemas.openxmlformats.org/officeDocument/2006/relationships" name="Resumen" sheetId="5" state="visible" r:id="rId5"/>
  </sheets>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000000"/>
      <sz val="14"/>
    </font>
    <font>
      <name val="Arial"/>
      <family val="2"/>
      <color rgb="FF555555"/>
      <sz val="9"/>
    </font>
    <font>
      <name val="Arial"/>
      <family val="2"/>
      <color rgb="FF000000"/>
      <sz val="10"/>
    </font>
    <font>
      <name val="Arial"/>
      <family val="2"/>
      <b val="1"/>
      <color rgb="FF000000"/>
      <sz val="11"/>
    </font>
    <font>
      <name val="Arial"/>
      <family val="2"/>
      <b val="1"/>
      <sz val="14"/>
    </font>
    <font>
      <name val="Arial"/>
      <family val="2"/>
      <i val="1"/>
      <color rgb="FF555555"/>
      <sz val="9"/>
    </font>
    <font>
      <name val="Arial"/>
      <family val="2"/>
      <b val="1"/>
      <color rgb="FFFFFFFF"/>
      <sz val="10"/>
    </font>
    <font>
      <name val="Arial"/>
      <family val="2"/>
      <i val="1"/>
      <color rgb="FF666666"/>
      <sz val="9"/>
    </font>
    <font>
      <name val="Arial"/>
      <family val="2"/>
      <sz val="10"/>
    </font>
    <font>
      <name val="Arial"/>
      <family val="2"/>
      <b val="1"/>
      <sz val="10"/>
    </font>
  </fonts>
  <fills count="5">
    <fill>
      <patternFill/>
    </fill>
    <fill>
      <patternFill patternType="gray125"/>
    </fill>
    <fill>
      <patternFill patternType="solid">
        <fgColor rgb="FFFFF7CC"/>
      </patternFill>
    </fill>
    <fill>
      <patternFill patternType="solid">
        <fgColor rgb="FF1F1F1F"/>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3" fillId="2" borderId="0" applyAlignment="1" pivotButton="0" quotePrefix="0" xfId="0">
      <alignment wrapText="1"/>
    </xf>
    <xf numFmtId="0" fontId="5" fillId="0" borderId="0" pivotButton="0" quotePrefix="0" xfId="0"/>
    <xf numFmtId="0" fontId="6" fillId="0" borderId="0" pivotButton="0" quotePrefix="0" xfId="0"/>
    <xf numFmtId="0" fontId="7" fillId="3" borderId="1" applyAlignment="1" pivotButton="0" quotePrefix="0" xfId="0">
      <alignment vertical="center" wrapText="1"/>
    </xf>
    <xf numFmtId="0" fontId="8" fillId="4" borderId="1" applyAlignment="1" pivotButton="0" quotePrefix="0" xfId="0">
      <alignment vertical="top" wrapText="1"/>
    </xf>
    <xf numFmtId="0" fontId="9" fillId="2" borderId="1" applyAlignment="1" pivotButton="0" quotePrefix="0" xfId="0">
      <alignment vertical="top" wrapText="1"/>
    </xf>
    <xf numFmtId="0" fontId="10" fillId="0" borderId="0" pivotButton="0" quotePrefix="0" xfId="0"/>
    <xf numFmtId="0" fontId="9" fillId="0" borderId="1" pivotButton="0" quotePrefix="0" xfId="0"/>
    <xf numFmtId="0" fontId="9" fillId="0" borderId="0" pivotButton="0" quotePrefix="0" xfId="0"/>
    <xf numFmtId="9" fontId="9"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1"/>
  <sheetViews>
    <sheetView tabSelected="1" workbookViewId="0">
      <selection activeCell="A1" sqref="A1"/>
    </sheetView>
  </sheetViews>
  <sheetFormatPr baseColWidth="10" defaultColWidth="8.83203125" defaultRowHeight="15"/>
  <cols>
    <col width="4" customWidth="1" min="1" max="1"/>
    <col width="110" customWidth="1" min="2" max="2"/>
  </cols>
  <sheetData>
    <row r="1" ht="19" customHeight="1">
      <c r="B1" s="1" t="inlineStr">
        <is>
          <t>Taller de datos · Entrega 1 · El lago y su diccionario</t>
        </is>
      </c>
    </row>
    <row r="2">
      <c r="B2" s="2" t="inlineStr">
        <is>
          <t>Tópicos de Sistemas de Información · Profesor Santiago Jiménez Londoño · topicos-si.vercel.app/Tallerdatos</t>
        </is>
      </c>
    </row>
    <row r="3">
      <c r="B3" s="3" t="n"/>
    </row>
    <row r="4" ht="16" customHeight="1">
      <c r="B4" s="4" t="inlineStr">
        <is>
          <t>Datos del grupo</t>
        </is>
      </c>
    </row>
    <row r="5">
      <c r="B5" s="5" t="inlineStr">
        <is>
          <t>Ciudad elegida: Londres</t>
        </is>
      </c>
    </row>
    <row r="6">
      <c r="B6" s="5" t="inlineStr">
        <is>
          <t>Integrantes: Jean Carlo Ardila - David Cossio - Juan Pablo Posso</t>
        </is>
      </c>
    </row>
    <row r="7">
      <c r="B7" s="5" t="inlineStr">
        <is>
          <t>Enlace al repositorio o a la carpeta del lago: https://github.com/JeanArdila711/cerebro-londres</t>
        </is>
      </c>
    </row>
    <row r="8">
      <c r="B8" s="3" t="n"/>
    </row>
    <row r="9" ht="16" customHeight="1">
      <c r="B9" s="4" t="inlineStr">
        <is>
          <t>Qué entregan en este archivo</t>
        </is>
      </c>
    </row>
    <row r="10" ht="29" customHeight="1">
      <c r="B10" s="3" t="inlineStr">
        <is>
          <t>1. Fuentes · una fila por cada fuente que encontraron en el rastreo, entre o no al lago. Las descartadas también cuentan: explican las decisiones.</t>
        </is>
      </c>
    </row>
    <row r="11">
      <c r="B11" s="3" t="inlineStr">
        <is>
          <t>2. Diccionario · una fila por cada campo (columna o clave del JSON) que quedó en el lago. Si un campo no está aquí, no existe.</t>
        </is>
      </c>
    </row>
    <row r="12">
      <c r="B12" s="3" t="inlineStr">
        <is>
          <t>3. Bitácora IA · qué le encargaron a la IA durante la búsqueda, qué respondió y cómo lo comprobaron.</t>
        </is>
      </c>
    </row>
    <row r="13">
      <c r="B13" s="3" t="inlineStr">
        <is>
          <t>Resumen · se llena solo con fórmulas. No lo editen.</t>
        </is>
      </c>
    </row>
    <row r="14">
      <c r="B14" s="3" t="n"/>
    </row>
    <row r="15" ht="16" customHeight="1">
      <c r="B15" s="4" t="inlineStr">
        <is>
          <t>Cómo llenarlo</t>
        </is>
      </c>
    </row>
    <row r="16" ht="29" customHeight="1">
      <c r="B16" s="3" t="inlineStr">
        <is>
          <t>• Escriban solo en las celdas amarillas. La fila gris de cada hoja es un ejemplo (Medellín): pueden borrarla o dejarla, el resumen no la cuenta.</t>
        </is>
      </c>
    </row>
    <row r="17">
      <c r="B17" s="3" t="inlineStr">
        <is>
          <t>• El ID de fuente (F01, F02…) une las tres hojas: úsenlo igual en Fuentes, Diccionario y Bitácora IA.</t>
        </is>
      </c>
    </row>
    <row r="18">
      <c r="B18" s="3" t="inlineStr">
        <is>
          <t>• Las columnas con lista desplegable solo aceptan esas opciones.</t>
        </is>
      </c>
    </row>
    <row r="19">
      <c r="B19" s="3" t="inlineStr">
        <is>
          <t>• La licencia se copia tal como aparece en la fuente. Si la fuente no dice nada, escriban «no declara»: no la supongan.</t>
        </is>
      </c>
    </row>
    <row r="20">
      <c r="B20" s="3" t="inlineStr">
        <is>
          <t>• «Fecha en que la probaron» es el día en que la descarga o la API respondió de verdad, no el día en que la IA la mencionó.</t>
        </is>
      </c>
    </row>
    <row r="21">
      <c r="B21" s="3" t="inlineStr">
        <is>
          <t>• Una fuente que la IA nombró y que ustedes no pudieron abrir va igual en Fuentes, con estado «No responde» o «No existe».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28" customWidth="1" min="2" max="2"/>
    <col width="22" customWidth="1" min="3" max="3"/>
    <col width="18" customWidth="1" min="4" max="4"/>
    <col width="36" customWidth="1" min="5" max="5"/>
    <col width="12" customWidth="1" min="6" max="6"/>
    <col width="18" customWidth="1" min="7" max="7"/>
    <col width="22" customWidth="1" min="8" max="8"/>
    <col width="18" customWidth="1" min="9" max="9"/>
    <col width="16" customWidth="1" min="10" max="10"/>
    <col width="14" customWidth="1" min="11" max="13"/>
    <col width="20" customWidth="1" min="14" max="14"/>
    <col width="26" customWidth="1" min="15" max="15"/>
    <col width="32" customWidth="1" min="16" max="16"/>
  </cols>
  <sheetData>
    <row r="1" ht="18" customHeight="1">
      <c r="A1" s="6" t="inlineStr">
        <is>
          <t>1. Catálogo de fuentes</t>
        </is>
      </c>
    </row>
    <row r="2">
      <c r="A2" s="7" t="inlineStr">
        <is>
          <t>Una fila por fuente encontrada. Escriban en las celdas amarillas; la fila gris es un ejemplo.</t>
        </is>
      </c>
    </row>
    <row r="3" ht="42" customHeight="1">
      <c r="A3" s="8" t="inlineStr">
        <is>
          <t>ID fuente</t>
        </is>
      </c>
      <c r="B3" s="8" t="inlineStr">
        <is>
          <t>Nombre del conjunto de datos</t>
        </is>
      </c>
      <c r="C3" s="8" t="inlineStr">
        <is>
          <t>Entidad que lo publica</t>
        </is>
      </c>
      <c r="D3" s="8" t="inlineStr">
        <is>
          <t>Tipo de publicador</t>
        </is>
      </c>
      <c r="E3" s="8" t="inlineStr">
        <is>
          <t>URL exacta (descarga o API)</t>
        </is>
      </c>
      <c r="F3" s="8" t="inlineStr">
        <is>
          <t>Formato</t>
        </is>
      </c>
      <c r="G3" s="8" t="inlineStr">
        <is>
          <t>Cómo se obtiene</t>
        </is>
      </c>
      <c r="H3" s="8" t="inlineStr">
        <is>
          <t>Licencia (tal como aparece)</t>
        </is>
      </c>
      <c r="I3" s="8" t="inlineStr">
        <is>
          <t>¿Trae datos de personas?</t>
        </is>
      </c>
      <c r="J3" s="8" t="inlineStr">
        <is>
          <t>Cobertura geográfica</t>
        </is>
      </c>
      <c r="K3" s="8" t="inlineStr">
        <is>
          <t>Periodo que cubre</t>
        </is>
      </c>
      <c r="L3" s="8" t="inlineStr">
        <is>
          <t>Frecuencia de actualización</t>
        </is>
      </c>
      <c r="M3" s="8" t="inlineStr">
        <is>
          <t>Fecha en que la probaron (AAAA-MM-DD)</t>
        </is>
      </c>
      <c r="N3" s="8" t="inlineStr">
        <is>
          <t>Estado</t>
        </is>
      </c>
      <c r="O3" s="8" t="inlineStr">
        <is>
          <t>Cómo la encontraron (IA o búsqueda)</t>
        </is>
      </c>
      <c r="P3" s="8" t="inlineStr">
        <is>
          <t>Observaciones</t>
        </is>
      </c>
    </row>
    <row r="4" ht="52" customHeight="1">
      <c r="A4" s="9" t="inlineStr">
        <is>
          <t>F01</t>
        </is>
      </c>
      <c r="B4" s="9" t="inlineStr">
        <is>
          <t>Vistas mensuales del artículo «Medellín» en Wikipedia</t>
        </is>
      </c>
      <c r="C4" s="9" t="inlineStr">
        <is>
          <t>Wikimedia Foundation</t>
        </is>
      </c>
      <c r="D4" s="9" t="inlineStr">
        <is>
          <t>Plataforma colaborativa</t>
        </is>
      </c>
      <c r="E4" s="9" t="inlineStr">
        <is>
          <t>https://wikimedia.org/api/rest_v1/metrics/pageviews/per-article/es.wikipedia/all-access/user/Medellín/monthly/20250101/20260831</t>
        </is>
      </c>
      <c r="F4" s="9" t="inlineStr">
        <is>
          <t>JSON</t>
        </is>
      </c>
      <c r="G4" s="9" t="inlineStr">
        <is>
          <t>API sin llave</t>
        </is>
      </c>
      <c r="H4" s="9" t="inlineStr">
        <is>
          <t>CC0</t>
        </is>
      </c>
      <c r="I4" s="9" t="inlineStr">
        <is>
          <t>No</t>
        </is>
      </c>
      <c r="J4" s="9" t="inlineStr">
        <is>
          <t>Ciudad (artículo)</t>
        </is>
      </c>
      <c r="K4" s="9" t="inlineStr">
        <is>
          <t>2025-01 a 2026-08</t>
        </is>
      </c>
      <c r="L4" s="9" t="inlineStr">
        <is>
          <t>Mensual</t>
        </is>
      </c>
      <c r="M4" s="9" t="inlineStr">
        <is>
          <t>2026-09-14</t>
        </is>
      </c>
      <c r="N4" s="9" t="inlineStr">
        <is>
          <t>Integrada al lago</t>
        </is>
      </c>
      <c r="O4" s="9" t="inlineStr">
        <is>
          <t>Se la pedimos a la IA como «fuente de interés público sobre la ciudad»; la probamos con curl</t>
        </is>
      </c>
      <c r="P4" s="9" t="inlineStr">
        <is>
          <t>Cuenta personas, no bots (agente «user»).</t>
        </is>
      </c>
    </row>
    <row r="5">
      <c r="A5" s="10" t="inlineStr">
        <is>
          <t>F01</t>
        </is>
      </c>
      <c r="B5" s="10" t="inlineStr">
        <is>
          <t>Vistas mensuales de artículos de Wikipedia sobre Westminster y boroughs vecinos</t>
        </is>
      </c>
      <c r="C5" s="10" t="inlineStr">
        <is>
          <t>Wikimedia Foundation</t>
        </is>
      </c>
      <c r="D5" s="10" t="inlineStr">
        <is>
          <t>Plataforma colaborativa</t>
        </is>
      </c>
      <c r="E5" s="10" t="inlineStr">
        <is>
          <t>https://wikimedia.org/api/rest_v1/metrics/pageviews/per-article/en.wikipedia/all-access/user/City_of_Westminster/monthly/20250101/20260831</t>
        </is>
      </c>
      <c r="F5" s="10" t="inlineStr">
        <is>
          <t>JSON</t>
        </is>
      </c>
      <c r="G5" s="10" t="inlineStr">
        <is>
          <t>API sin llave</t>
        </is>
      </c>
      <c r="H5" s="10" t="inlineStr">
        <is>
          <t>CC0</t>
        </is>
      </c>
      <c r="I5" s="10" t="inlineStr">
        <is>
          <t>No</t>
        </is>
      </c>
      <c r="J5" s="10" t="inlineStr">
        <is>
          <t>Artículo (un borough o lugar de Londres; el script trae 1 foco + 6 lugares + 3 boroughs de comparación)</t>
        </is>
      </c>
      <c r="K5" s="10" t="inlineStr">
        <is>
          <t>2025-01 a 2026-08</t>
        </is>
      </c>
      <c r="L5" s="10" t="inlineStr">
        <is>
          <t>Mensual</t>
        </is>
      </c>
      <c r="M5" s="10" t="inlineStr">
        <is>
          <t>2026-10-02</t>
        </is>
      </c>
      <c r="N5" s="10" t="inlineStr">
        <is>
          <t>Integrada al lago</t>
        </is>
      </c>
      <c r="O5" s="10" t="inlineStr">
        <is>
          <t>Búsqueda directa (misma fuente que usa el ejemplo de Medellín del taller); la IA no participó en encontrarla</t>
        </is>
      </c>
      <c r="P5" s="10" t="inlineStr">
        <is>
          <t>Ya estaba en el esqueleto que recibimos. Enfocada en City of Westminster, no en Londres completa: hay que revisar el alcance cuando el grupo amplíe a los 33 boroughs. Vistas de personas, excluye bots declarados.</t>
        </is>
      </c>
    </row>
    <row r="6">
      <c r="A6" s="10" t="inlineStr">
        <is>
          <t>F02</t>
        </is>
      </c>
      <c r="B6" s="10" t="inlineStr">
        <is>
          <t>Estimaciones de población por borough, mitad de año (ONS vía Nomis NM_31_1)</t>
        </is>
      </c>
      <c r="C6" s="10" t="inlineStr">
        <is>
          <t>Office for National Statistics</t>
        </is>
      </c>
      <c r="D6" s="10" t="inlineStr">
        <is>
          <t>Entidad pública</t>
        </is>
      </c>
      <c r="E6" s="10" t="inlineStr">
        <is>
          <t>https://www.nomisweb.co.uk/api/v01/dataset/NM_31_1.data.json?geography=TYPE432&amp;date=latest&amp;sex=7&amp;age=0&amp;measures=20100</t>
        </is>
      </c>
      <c r="F6" s="10" t="inlineStr">
        <is>
          <t>JSON</t>
        </is>
      </c>
      <c r="G6" s="10" t="inlineStr">
        <is>
          <t>API sin llave</t>
        </is>
      </c>
      <c r="H6" s="10" t="inlineStr">
        <is>
          <t>OGL-3.0</t>
        </is>
      </c>
      <c r="I6" s="10" t="inlineStr">
        <is>
          <t>No</t>
        </is>
      </c>
      <c r="J6" s="10" t="inlineStr">
        <is>
          <t>33 boroughs de Greater London (cruzados por código GSS E09…, nunca por nombre)</t>
        </is>
      </c>
      <c r="K6" s="10" t="inlineStr">
        <is>
          <t>último año con estimación disponible</t>
        </is>
      </c>
      <c r="L6" s="10" t="inlineStr">
        <is>
          <t>Anual</t>
        </is>
      </c>
      <c r="M6" s="10" t="inlineStr">
        <is>
          <t>2026-10-02</t>
        </is>
      </c>
      <c r="N6" s="10" t="inlineStr">
        <is>
          <t>Integrada al lago</t>
        </is>
      </c>
      <c r="O6" s="10" t="inlineStr">
        <is>
          <t>Búsqueda directa</t>
        </is>
      </c>
      <c r="P6" s="10" t="inlineStr">
        <is>
          <t>Se cruza por código GSS, no por nombre: Westminster y City of Westminster son el mismo borough escrito distinto, y City of London es otro borough que se confunde fácil con Londres entera.</t>
        </is>
      </c>
    </row>
    <row r="7">
      <c r="A7" s="10" t="inlineStr">
        <is>
          <t>F03</t>
        </is>
      </c>
      <c r="B7" s="10" t="inlineStr">
        <is>
          <t>Hospedaje y atractivos turísticos en Westminster (OpenStreetMap)</t>
        </is>
      </c>
      <c r="C7" s="10" t="inlineStr">
        <is>
          <t>OpenStreetMap contributors</t>
        </is>
      </c>
      <c r="D7" s="10" t="inlineStr">
        <is>
          <t>Plataforma colaborativa</t>
        </is>
      </c>
      <c r="E7" s="10" t="inlineStr">
        <is>
          <t>https://overpass-api.de/api/interpreter (consulta Overpass QL sobre el área OSM 3600051781 = City of Westminster)</t>
        </is>
      </c>
      <c r="F7" s="10" t="inlineStr">
        <is>
          <t>JSON</t>
        </is>
      </c>
      <c r="G7" s="10" t="inlineStr">
        <is>
          <t>API sin llave</t>
        </is>
      </c>
      <c r="H7" s="10" t="inlineStr">
        <is>
          <t>ODbL</t>
        </is>
      </c>
      <c r="I7" s="10" t="inlineStr">
        <is>
          <t>No</t>
        </is>
      </c>
      <c r="J7" s="10" t="inlineStr">
        <is>
          <t>City of Westminster (polígono de la relación OSM)</t>
        </is>
      </c>
      <c r="K7" s="10" t="inlineStr">
        <is>
          <t>dato vivo, sin periodo histórico (cada corrida es una foto del momento)</t>
        </is>
      </c>
      <c r="L7" s="10" t="inlineStr">
        <is>
          <t>Única vez</t>
        </is>
      </c>
      <c r="M7" s="10" t="inlineStr">
        <is>
          <t>2026-09-21</t>
        </is>
      </c>
      <c r="N7" s="10" t="inlineStr">
        <is>
          <t>Integrada al lago</t>
        </is>
      </c>
      <c r="O7" s="10" t="inlineStr">
        <is>
          <t>Búsqueda directa</t>
        </is>
      </c>
      <c r="P7" s="10" t="inlineStr">
        <is>
          <t>ODbL obliga a compartir igual lo que se derive de la base: la más exigente del sistema. Inestable: el host principal me dio 504 Gateway Timeout al probarlo hoy (2026-10-02); el script ya lo sabe y reintenta sobre tres espejos, por eso dejo la fecha de prueba del lago (21-sep) y no la de hoy.</t>
        </is>
      </c>
    </row>
    <row r="8">
      <c r="A8" s="10" t="inlineStr">
        <is>
          <t>F04</t>
        </is>
      </c>
      <c r="B8" s="10" t="inlineStr">
        <is>
          <t>Delitos callejeros registrados en Westminster, hasta 12 meses pedidos (data.police.uk)</t>
        </is>
      </c>
      <c r="C8" s="10" t="inlineStr">
        <is>
          <t>data.police.uk (Home Office / fuerzas policiales)</t>
        </is>
      </c>
      <c r="D8" s="10" t="inlineStr">
        <is>
          <t>Entidad pública</t>
        </is>
      </c>
      <c r="E8" s="10" t="inlineStr">
        <is>
          <t>https://data.police.uk/api/crimes-street/all-crime?lat=51.5099&amp;lng=-0.1337&amp;date=AAAA-MM (un mes por llamada; el script pide 12)</t>
        </is>
      </c>
      <c r="F8" s="10" t="inlineStr">
        <is>
          <t>JSON</t>
        </is>
      </c>
      <c r="G8" s="10" t="inlineStr">
        <is>
          <t>API sin llave</t>
        </is>
      </c>
      <c r="H8" s="10" t="inlineStr">
        <is>
          <t>OGL-3.0</t>
        </is>
      </c>
      <c r="I8" s="10" t="inlineStr">
        <is>
          <t>Personas identificables</t>
        </is>
      </c>
      <c r="J8" s="10" t="inlineStr">
        <is>
          <t>City of Westminster (polígono, no punto+radio, para no mezclar delitos de boroughs vecinos)</t>
        </is>
      </c>
      <c r="K8" s="10" t="inlineStr">
        <is>
          <t>hasta 12 meses móviles (puede haber menos: algún mes puede caer sin dato por la API)</t>
        </is>
      </c>
      <c r="L8" s="10" t="inlineStr">
        <is>
          <t>Mensual</t>
        </is>
      </c>
      <c r="M8" s="10" t="inlineStr">
        <is>
          <t>2026-10-26</t>
        </is>
      </c>
      <c r="N8" s="10" t="inlineStr">
        <is>
          <t>Integrada al lago</t>
        </is>
      </c>
      <c r="O8" s="10" t="inlineStr">
        <is>
          <t>Búsqueda directa</t>
        </is>
      </c>
      <c r="P8" s="10" t="inlineStr">
        <is>
          <t>La API trae un registro por delito con coordenadas (desplazadas a un punto ancla, no la dirección exacta). Decisión de privacidad ya tomada: al lago solo entran conteos agregados por categoría y mes, nunca el registro individual, y el crudo no se versiona. Se piden 12 meses pero no siempre responden los 12: la prueba de hoy trajo 11 (1 mes sin dato), número que varía de una corrida a otra; el lago lo declara en meses_sin_dato, no lo esconde.</t>
        </is>
      </c>
    </row>
    <row r="9">
      <c r="A9" s="10" t="inlineStr">
        <is>
          <t>F05</t>
        </is>
      </c>
      <c r="B9" s="10" t="inlineStr">
        <is>
          <t>UK House Price Index: Westminster frente a Londres, Inglaterra, Camden y Kensington and Chelsea</t>
        </is>
      </c>
      <c r="C9" s="10" t="inlineStr">
        <is>
          <t>HM Land Registry</t>
        </is>
      </c>
      <c r="D9" s="10" t="inlineStr">
        <is>
          <t>Entidad pública</t>
        </is>
      </c>
      <c r="E9" s="10" t="inlineStr">
        <is>
          <t>https://landregistry.data.gov.uk/data/ukhpi/region/city-of-westminster/month.json?_pageSize=60&amp;_sort=-refMonth</t>
        </is>
      </c>
      <c r="F9" s="10" t="inlineStr">
        <is>
          <t>JSON</t>
        </is>
      </c>
      <c r="G9" s="10" t="inlineStr">
        <is>
          <t>API sin llave</t>
        </is>
      </c>
      <c r="H9" s="10" t="inlineStr">
        <is>
          <t>OGL-3.0</t>
        </is>
      </c>
      <c r="I9" s="10" t="inlineStr">
        <is>
          <t>No</t>
        </is>
      </c>
      <c r="J9" s="10" t="inlineStr">
        <is>
          <t>City of Westminster, comparado con London, England, Camden y Kensington and Chelsea</t>
        </is>
      </c>
      <c r="K9" s="10" t="inlineStr">
        <is>
          <t>últimos 5 años (60 meses)</t>
        </is>
      </c>
      <c r="L9" s="10" t="inlineStr">
        <is>
          <t>Mensual</t>
        </is>
      </c>
      <c r="M9" s="10" t="inlineStr">
        <is>
          <t>2026-10-02</t>
        </is>
      </c>
      <c r="N9" s="10" t="inlineStr">
        <is>
          <t>Integrada al lago</t>
        </is>
      </c>
      <c r="O9" s="10" t="inlineStr">
        <is>
          <t>Búsqueda directa</t>
        </is>
      </c>
      <c r="P9" s="10" t="inlineStr">
        <is>
          <t>Es precio MEDIO de vivienda en libras, no precio por m²: no es intercambiable con el «precio del m²» que usa el Cerebro Lima. La unidad va marcada en el contrato para que nadie las confunda.</t>
        </is>
      </c>
    </row>
    <row r="10">
      <c r="A10" s="10" t="inlineStr">
        <is>
          <t>F06</t>
        </is>
      </c>
      <c r="B10" s="10" t="inlineStr">
        <is>
          <t>Pronóstico meteorológico sobre el centroide de Westminster</t>
        </is>
      </c>
      <c r="C10" s="10" t="inlineStr">
        <is>
          <t>Open-Meteo</t>
        </is>
      </c>
      <c r="D10" s="10" t="inlineStr">
        <is>
          <t>No se sabe</t>
        </is>
      </c>
      <c r="E10" s="10" t="inlineStr">
        <is>
          <t>https://api.open-meteo.com/v1/forecast?latitude=51.4975&amp;longitude=-0.1357&amp;current=temperature_2m,relative_humidity_2m,wind_speed_10m,cloud_cover&amp;daily=temperature_2m_max,temperature_2m_min,precipitation_sum&amp;timezone=Europe/London&amp;forecast_days=7</t>
        </is>
      </c>
      <c r="F10" s="10" t="inlineStr">
        <is>
          <t>JSON</t>
        </is>
      </c>
      <c r="G10" s="10" t="inlineStr">
        <is>
          <t>API sin llave</t>
        </is>
      </c>
      <c r="H10" s="10" t="inlineStr">
        <is>
          <t>CC-BY-4.0</t>
        </is>
      </c>
      <c r="I10" s="10" t="inlineStr">
        <is>
          <t>No</t>
        </is>
      </c>
      <c r="J10" s="10" t="inlineStr">
        <is>
          <t>Punto (centroide aproximado del borough, no una estación física)</t>
        </is>
      </c>
      <c r="K10" s="10" t="inlineStr">
        <is>
          <t>condición actual + pronóstico de 7 días</t>
        </is>
      </c>
      <c r="L10" s="10" t="inlineStr">
        <is>
          <t>Diaria</t>
        </is>
      </c>
      <c r="M10" s="10" t="inlineStr">
        <is>
          <t>2026-10-02</t>
        </is>
      </c>
      <c r="N10" s="10" t="inlineStr">
        <is>
          <t>Integrada al lago</t>
        </is>
      </c>
      <c r="O10" s="10" t="inlineStr">
        <is>
          <t>Búsqueda directa</t>
        </is>
      </c>
      <c r="P10" s="10" t="inlineStr">
        <is>
          <t>Es un modelo interpolado al punto, no una estación meteorológica real; el contrato lo deja escrito para no hacerlo pasar por una observación. No confirmé qué tipo de organización publica Open-Meteo (independiente, de código abierto): no se supone.</t>
        </is>
      </c>
    </row>
    <row r="11">
      <c r="A11" s="10" t="inlineStr">
        <is>
          <t>F07</t>
        </is>
      </c>
      <c r="B11" s="10" t="inlineStr">
        <is>
          <t>Límites de los 33 boroughs, wards de Westminster y wards de los 33 boroughs (ONS Open Geography)</t>
        </is>
      </c>
      <c r="C11" s="10" t="inlineStr">
        <is>
          <t>Office for National Statistics (Open Geography Portal)</t>
        </is>
      </c>
      <c r="D11" s="10" t="inlineStr">
        <is>
          <t>Entidad pública</t>
        </is>
      </c>
      <c r="E11" s="10" t="inlineStr">
        <is>
          <t>https://services1.arcgis.com/ESMARspQHYMw9BZ9/arcgis/rest/services/Local_Authority_Districts_DEC_2025_Boundaries_UK_BGC/FeatureServer/0/query?where=LAD25CD%20LIKE%20%27E09%25%27&amp;outFields=LAD25CD,LAD25NM&amp;returnGeometry=true&amp;outSR=4326&amp;f=geojson</t>
        </is>
      </c>
      <c r="F11" s="10" t="inlineStr">
        <is>
          <t>GeoJSON</t>
        </is>
      </c>
      <c r="G11" s="10" t="inlineStr">
        <is>
          <t>API sin llave</t>
        </is>
      </c>
      <c r="H11" s="10" t="inlineStr">
        <is>
          <t>OGL-3.0</t>
        </is>
      </c>
      <c r="I11" s="10" t="inlineStr">
        <is>
          <t>No</t>
        </is>
      </c>
      <c r="J11" s="10" t="inlineStr">
        <is>
          <t>33 boroughs de Greater London + wards de Westminster + 704 wards de los 33 boroughs</t>
        </is>
      </c>
      <c r="K11" s="10" t="inlineStr">
        <is>
          <t>boroughs 2025-12 · wards Westminster 2024-12 · wards Londres 2025-12</t>
        </is>
      </c>
      <c r="L11" s="10" t="inlineStr">
        <is>
          <t>No se sabe</t>
        </is>
      </c>
      <c r="M11" s="10" t="inlineStr">
        <is>
          <t>2026-10-02</t>
        </is>
      </c>
      <c r="N11" s="10" t="inlineStr">
        <is>
          <t>Integrada al lago</t>
        </is>
      </c>
      <c r="O11" s="10" t="inlineStr">
        <is>
          <t>Rastreo propio (no la propuso la IA)</t>
        </is>
      </c>
      <c r="P11" s="10" t="inlineStr">
        <is>
          <t>Contiene OS data © Crown copyright and database right. Tres capas de la misma fuente, en ingesta/pull_territorio.py: territorio/boroughs.geojson (33), territorio/wards_westminster.geojson (18, cosecha 2024) y territorio/wards_londres.geojson (704, cosecha 2025). Hallazgo corregido: se creía que la capa de wards de 2025 solo existía como MapServer; con el nombre de servicio correcto (WD_DEC_2025_UK_BGC) sí es FeatureServer y responde. OJO (revisión del profesor): el área de cada borough (atlas_boroughs.json, para densidad) se calculaba con una fórmula esférica sobre grados lon/lat. Se corrigió proyectando a metros con la Transverse Mercator del British National Grid (EPSG:27700) antes del shoelace: Westminster pasó de 21,38 a 21,45 km², diferencia chica pero el método anterior no era correcto para un plano métrico.</t>
        </is>
      </c>
    </row>
    <row r="12">
      <c r="A12" s="10" t="inlineStr">
        <is>
          <t>F08</t>
        </is>
      </c>
      <c r="B12" s="10" t="inlineStr">
        <is>
          <t>Paradas, estaciones y red de transporte en Westminster (OpenStreetMap)</t>
        </is>
      </c>
      <c r="C12" s="10" t="inlineStr">
        <is>
          <t>OpenStreetMap contributors</t>
        </is>
      </c>
      <c r="D12" s="10" t="inlineStr">
        <is>
          <t>Plataforma colaborativa</t>
        </is>
      </c>
      <c r="E12" s="10" t="inlineStr">
        <is>
          <t>https://overpass-api.de/api/interpreter (consulta Overpass QL sobre el área OSM 3600051781, verificada por ref:gss=E09000033)</t>
        </is>
      </c>
      <c r="F12" s="10" t="inlineStr">
        <is>
          <t>JSON</t>
        </is>
      </c>
      <c r="G12" s="10" t="inlineStr">
        <is>
          <t>API sin llave</t>
        </is>
      </c>
      <c r="H12" s="10" t="inlineStr">
        <is>
          <t>ODbL</t>
        </is>
      </c>
      <c r="I12" s="10" t="inlineStr">
        <is>
          <t>No</t>
        </is>
      </c>
      <c r="J12" s="10" t="inlineStr">
        <is>
          <t>City of Westminster (área oficial, cruzada por código, no por nombre)</t>
        </is>
      </c>
      <c r="K12" s="10" t="inlineStr">
        <is>
          <t>dato vivo, sin periodo histórico</t>
        </is>
      </c>
      <c r="L12" s="10" t="inlineStr">
        <is>
          <t>Única vez</t>
        </is>
      </c>
      <c r="M12" s="10" t="inlineStr">
        <is>
          <t>2026-09-21</t>
        </is>
      </c>
      <c r="N12" s="10" t="inlineStr">
        <is>
          <t>Integrada al lago</t>
        </is>
      </c>
      <c r="O12" s="10" t="inlineStr">
        <is>
          <t>Búsqueda directa</t>
        </is>
      </c>
      <c r="P12" s="10" t="inlineStr">
        <is>
          <t>Mismo host que F03: hoy (2026-10-02) el servidor principal de Overpass me dio 504 Gateway Timeout, así que dejo la fecha en que de verdad respondió (la del lago). ODbL obliga a compartir igual lo derivado.</t>
        </is>
      </c>
    </row>
    <row r="13">
      <c r="A13" s="10" t="inlineStr">
        <is>
          <t>F09</t>
        </is>
      </c>
      <c r="B13" s="10" t="inlineStr">
        <is>
          <t>Pronóstico cualitativo de calidad del aire para todo Londres (TfL AirQuality)</t>
        </is>
      </c>
      <c r="C13" s="10" t="inlineStr">
        <is>
          <t>Transport for London</t>
        </is>
      </c>
      <c r="D13" s="10" t="inlineStr">
        <is>
          <t>Entidad pública</t>
        </is>
      </c>
      <c r="E13" s="10" t="inlineStr">
        <is>
          <t>https://api.tfl.gov.uk/AirQuality</t>
        </is>
      </c>
      <c r="F13" s="10" t="inlineStr">
        <is>
          <t>JSON</t>
        </is>
      </c>
      <c r="G13" s="10" t="inlineStr">
        <is>
          <t>API sin llave</t>
        </is>
      </c>
      <c r="H13" s="10" t="inlineStr">
        <is>
          <t>terminos-del-servicio</t>
        </is>
      </c>
      <c r="I13" s="10" t="inlineStr">
        <is>
          <t>No</t>
        </is>
      </c>
      <c r="J13" s="10" t="inlineStr">
        <is>
          <t>Greater London entera (no desagrega por borough)</t>
        </is>
      </c>
      <c r="K13" s="10" t="inlineStr">
        <is>
          <t>pronóstico vigente del día</t>
        </is>
      </c>
      <c r="L13" s="10" t="inlineStr">
        <is>
          <t>Diaria</t>
        </is>
      </c>
      <c r="M13" s="10" t="inlineStr">
        <is>
          <t>2026-10-02</t>
        </is>
      </c>
      <c r="N13" s="10" t="inlineStr">
        <is>
          <t>Integrada al lago</t>
        </is>
      </c>
      <c r="O13" s="10" t="inlineStr">
        <is>
          <t>Búsqueda directa</t>
        </is>
      </c>
      <c r="P13" s="10" t="inlineStr">
        <is>
          <t>«Powered by TfL Open Data»: son sus propios términos de uso, no una licencia abierta clásica como OGL. Es cualitativo (bueno/moderado/alto) para toda la ciudad, no un valor numérico por punto: para eso está Open-Meteo (F10).</t>
        </is>
      </c>
    </row>
    <row r="14">
      <c r="A14" s="10" t="inlineStr">
        <is>
          <t>F10</t>
        </is>
      </c>
      <c r="B14" s="10" t="inlineStr">
        <is>
          <t>Calidad del aire por modelo (CAMS) sobre el centroide de Westminster</t>
        </is>
      </c>
      <c r="C14" s="10" t="inlineStr">
        <is>
          <t>Open-Meteo</t>
        </is>
      </c>
      <c r="D14" s="10" t="inlineStr">
        <is>
          <t>No se sabe</t>
        </is>
      </c>
      <c r="E14" s="10" t="inlineStr">
        <is>
          <t>https://air-quality-api.open-meteo.com/v1/air-quality?latitude=51.4975&amp;longitude=-0.1357&amp;current=pm2_5,pm10,nitrogen_dioxide,european_aqi&amp;hourly=pm2_5&amp;past_days=7&amp;timezone=Europe/London</t>
        </is>
      </c>
      <c r="F14" s="10" t="inlineStr">
        <is>
          <t>JSON</t>
        </is>
      </c>
      <c r="G14" s="10" t="inlineStr">
        <is>
          <t>API sin llave</t>
        </is>
      </c>
      <c r="H14" s="10" t="inlineStr">
        <is>
          <t>CC-BY-4.0</t>
        </is>
      </c>
      <c r="I14" s="10" t="inlineStr">
        <is>
          <t>No</t>
        </is>
      </c>
      <c r="J14" s="10" t="inlineStr">
        <is>
          <t>Punto (centroide aproximado del borough, no una estación física)</t>
        </is>
      </c>
      <c r="K14" s="10" t="inlineStr">
        <is>
          <t>condición actual + 7 días hacia atrás (hourly PM2.5)</t>
        </is>
      </c>
      <c r="L14" s="10" t="inlineStr">
        <is>
          <t>Diaria</t>
        </is>
      </c>
      <c r="M14" s="10" t="inlineStr">
        <is>
          <t>2026-10-02</t>
        </is>
      </c>
      <c r="N14" s="10" t="inlineStr">
        <is>
          <t>Integrada al lago</t>
        </is>
      </c>
      <c r="O14" s="10" t="inlineStr">
        <is>
          <t>Búsqueda directa</t>
        </is>
      </c>
      <c r="P14" s="10" t="inlineStr">
        <is>
          <t>Valores de modelo CAMS, no lecturas de la red de monitoreo real de Londres (esa es la London Air Quality Network, que quedó solo rastreada, no integrada). Misma incertidumbre que F06 sobre el tipo de organización que publica Open-Meteo: no se supone.</t>
        </is>
      </c>
    </row>
    <row r="15">
      <c r="A15" s="10" t="inlineStr">
        <is>
          <t>F11</t>
        </is>
      </c>
      <c r="B15" s="10" t="inlineStr">
        <is>
          <t>Paradas de transporte cercanas a un punto (TfL StopPoint)</t>
        </is>
      </c>
      <c r="C15" s="10" t="inlineStr">
        <is>
          <t>Transport for London</t>
        </is>
      </c>
      <c r="D15" s="10" t="inlineStr">
        <is>
          <t>Entidad pública</t>
        </is>
      </c>
      <c r="E15" s="10" t="inlineStr">
        <is>
          <t>https://api.tfl.gov.uk/StopPoint?lat=51.4975&amp;lon=-0.1357&amp;stopTypes=NaptanMetroStation&amp;radius=1000</t>
        </is>
      </c>
      <c r="F15" s="10" t="inlineStr">
        <is>
          <t>JSON</t>
        </is>
      </c>
      <c r="G15" s="10" t="inlineStr">
        <is>
          <t>API sin llave</t>
        </is>
      </c>
      <c r="H15" s="10" t="inlineStr">
        <is>
          <t>terminos-del-servicio</t>
        </is>
      </c>
      <c r="I15" s="10" t="inlineStr">
        <is>
          <t>No</t>
        </is>
      </c>
      <c r="J15" s="10" t="inlineStr">
        <is>
          <t>City of Westminster (punto + radio de 1 km)</t>
        </is>
      </c>
      <c r="K15" s="10" t="inlineStr">
        <is>
          <t>dato vivo</t>
        </is>
      </c>
      <c r="L15" s="10" t="inlineStr">
        <is>
          <t>No se sabe</t>
        </is>
      </c>
      <c r="M15" s="10" t="inlineStr">
        <is>
          <t>2026-09-21</t>
        </is>
      </c>
      <c r="N15" s="10" t="inlineStr">
        <is>
          <t>Candidata</t>
        </is>
      </c>
      <c r="O15" s="10" t="inlineStr">
        <is>
          <t>Búsqueda directa</t>
        </is>
      </c>
      <c r="P15" s="10" t="inlineStr">
        <is>
          <t>El 2026-09-21 este endpoint dio 504 Gateway Timeout sostenido con varios radios y reintentos (mientras /AirQuality del mismo host sí respondía, así que la caída era del endpoint, no del servicio). El sistema se quedó con OpenStreetMap (F08) en su lugar. Hoy (2026-10-02) lo volví a probar y respondió 200 con normalidad: vale la pena reevaluar si se vuelve a intentar integrar.</t>
        </is>
      </c>
    </row>
    <row r="16">
      <c r="A16" s="10" t="inlineStr">
        <is>
          <t>F12</t>
        </is>
      </c>
      <c r="B16" s="10" t="inlineStr">
        <is>
          <t>English Indices of Deprivation 2025 · rangos, puntajes y deciles por LSOA (File 7)</t>
        </is>
      </c>
      <c r="C16" s="10" t="inlineStr">
        <is>
          <t>Ministry of Housing, Communities and Local Government (MHCLG)</t>
        </is>
      </c>
      <c r="D16" s="10" t="inlineStr">
        <is>
          <t>Entidad pública</t>
        </is>
      </c>
      <c r="E16" s="10" t="inlineStr">
        <is>
          <t>https://assets.publishing.service.gov.uk/media/691ded56d140bbbaa59a2a7d/File_7_IoD2025_All_Ranks_Scores_Deciles_Population_Denominators.csv</t>
        </is>
      </c>
      <c r="F16" s="10" t="inlineStr">
        <is>
          <t>CSV</t>
        </is>
      </c>
      <c r="G16" s="10" t="inlineStr">
        <is>
          <t>Descarga directa</t>
        </is>
      </c>
      <c r="H16" s="10" t="inlineStr">
        <is>
          <t>OGL-3.0</t>
        </is>
      </c>
      <c r="I16" s="10" t="inlineStr">
        <is>
          <t>No: cifras agregadas por autoridad local</t>
        </is>
      </c>
      <c r="J16" s="10" t="inlineStr">
        <is>
          <t>Todos los LSOA de Inglaterra (filtrados a los 33 boroughs de Londres)</t>
        </is>
      </c>
      <c r="K16" s="10" t="inlineStr">
        <is>
          <t>publicado 2025-10-30</t>
        </is>
      </c>
      <c r="L16" s="10" t="inlineStr">
        <is>
          <t>Única vez</t>
        </is>
      </c>
      <c r="M16" s="10" t="inlineStr">
        <is>
          <t>2026-10-02</t>
        </is>
      </c>
      <c r="N16" s="10" t="inlineStr">
        <is>
          <t>Integrada al lago</t>
        </is>
      </c>
      <c r="O16" s="10" t="inlineStr">
        <is>
          <t>Rastreo propio (no la propuso la IA)</t>
        </is>
      </c>
      <c r="P16" s="10" t="inlineStr">
        <is>
          <t>Ya integrada: ingesta/pull_privacion.py, lago/privacion.json (9,4 MB descargados, 123 LSOA de Westminster entre 4.994 de Londres). Westminster queda puesto 12 de 33 por privación promedio, pero tiene un LSOA en el decil 1 (más privado del país) y otro en el decil 9, en el mismo borough: un promedio esconde esa desigualdad interna.</t>
        </is>
      </c>
    </row>
    <row r="17">
      <c r="A17" s="10" t="inlineStr">
        <is>
          <t>F13</t>
        </is>
      </c>
      <c r="B17" s="10" t="inlineStr">
        <is>
          <t>Censo 2021 · TS001, residentes habituales por autoridad local (Nomis NM_2021_1)</t>
        </is>
      </c>
      <c r="C17" s="10" t="inlineStr">
        <is>
          <t>Office for National Statistics</t>
        </is>
      </c>
      <c r="D17" s="10" t="inlineStr">
        <is>
          <t>Entidad pública</t>
        </is>
      </c>
      <c r="E17" s="10" t="inlineStr">
        <is>
          <t>https://www.nomisweb.co.uk/api/v01/dataset/NM_2021_1.data.csv?date=latest&amp;geography=E12000007&amp;measures=20100</t>
        </is>
      </c>
      <c r="F17" s="10" t="inlineStr">
        <is>
          <t>CSV</t>
        </is>
      </c>
      <c r="G17" s="10" t="inlineStr">
        <is>
          <t>API sin llave</t>
        </is>
      </c>
      <c r="H17" s="10" t="inlineStr">
        <is>
          <t>OGL-3.0</t>
        </is>
      </c>
      <c r="I17" s="10" t="inlineStr">
        <is>
          <t>No: conteos agregados con control de divulgación</t>
        </is>
      </c>
      <c r="J17" s="10" t="inlineStr">
        <is>
          <t>región de Londres en esta consulta; Nomis también publica por borough</t>
        </is>
      </c>
      <c r="K17" s="10" t="inlineStr">
        <is>
          <t>Censo 2021 (21-mar-2021)</t>
        </is>
      </c>
      <c r="L17" s="10" t="inlineStr">
        <is>
          <t>Única vez</t>
        </is>
      </c>
      <c r="M17" s="10" t="inlineStr">
        <is>
          <t>2026-10-02</t>
        </is>
      </c>
      <c r="N17" s="10" t="inlineStr">
        <is>
          <t>Candidata</t>
        </is>
      </c>
      <c r="O17" s="10" t="inlineStr">
        <is>
          <t>Rastreo propio (no la propuso la IA)</t>
        </is>
      </c>
      <c r="P17" s="10" t="inlineStr">
        <is>
          <t>Londres: 8.799.728 residentes habituales (8.699.834 en hogares, 99.894 en establecimientos colectivos). El censo de Inglaterra y Gales es decenal: no hay uno más reciente que 2021. Para desagregar por los 33 boroughs se cambia el parámetro geography por TYPE432.</t>
        </is>
      </c>
    </row>
    <row r="18">
      <c r="A18" s="10" t="inlineStr">
        <is>
          <t>F14</t>
        </is>
      </c>
      <c r="B18" s="10" t="inlineStr">
        <is>
          <t>World Development Indicators: PIB per cápita, inflación y desempleo (Reino Unido, comparado con Colombia y Perú)</t>
        </is>
      </c>
      <c r="C18" s="10" t="inlineStr">
        <is>
          <t>World Bank</t>
        </is>
      </c>
      <c r="D18" s="10" t="inlineStr">
        <is>
          <t>Entidad pública</t>
        </is>
      </c>
      <c r="E18" s="10" t="inlineStr">
        <is>
          <t>https://api.worldbank.org/v2/country/GBR;COL;PER/indicator/NY.GDP.PCAP.CD?format=json&amp;mrv=1</t>
        </is>
      </c>
      <c r="F18" s="10" t="inlineStr">
        <is>
          <t>JSON</t>
        </is>
      </c>
      <c r="G18" s="10" t="inlineStr">
        <is>
          <t>API sin llave</t>
        </is>
      </c>
      <c r="H18" s="10" t="inlineStr">
        <is>
          <t>CC-BY-4.0</t>
        </is>
      </c>
      <c r="I18" s="10" t="inlineStr">
        <is>
          <t>No</t>
        </is>
      </c>
      <c r="J18" s="10" t="inlineStr">
        <is>
          <t>país (Reino Unido; mismo indicador para Colombia y Perú para comparar)</t>
        </is>
      </c>
      <c r="K18" s="10" t="inlineStr">
        <is>
          <t>2025</t>
        </is>
      </c>
      <c r="L18" s="10" t="inlineStr">
        <is>
          <t>Anual</t>
        </is>
      </c>
      <c r="M18" s="10" t="inlineStr">
        <is>
          <t>2026-10-02</t>
        </is>
      </c>
      <c r="N18" s="10" t="inlineStr">
        <is>
          <t>Candidata</t>
        </is>
      </c>
      <c r="O18" s="10" t="inlineStr">
        <is>
          <t>Rastreo propio (no la propuso la IA)</t>
        </is>
      </c>
      <c r="P18" s="10" t="inlineStr">
        <is>
          <t>PIB per cápita 2025 (US$ corrientes): Reino Unido 57.602, Perú 9.684, Colombia 8.562. Es escala país, no dice nada de Londres por sí sola: sirve para el «contra qué» de la pregunta 1, no para una cifra de la ciudad.</t>
        </is>
      </c>
    </row>
    <row r="19">
      <c r="A19" s="10" t="inlineStr">
        <is>
          <t>F15</t>
        </is>
      </c>
      <c r="B19" s="10" t="inlineStr">
        <is>
          <t>data.police.uk · registros individuales de stop and search (Policía Metropolitana)</t>
        </is>
      </c>
      <c r="C19" s="10" t="inlineStr">
        <is>
          <t>Home Office / policía</t>
        </is>
      </c>
      <c r="D19" s="10" t="inlineStr">
        <is>
          <t>Entidad pública</t>
        </is>
      </c>
      <c r="E19" s="10" t="inlineStr">
        <is>
          <t>https://data.police.uk/api/stops-force?force=metropolitan&amp;date=2026-07</t>
        </is>
      </c>
      <c r="F19" s="10" t="inlineStr">
        <is>
          <t>JSON</t>
        </is>
      </c>
      <c r="G19" s="10" t="inlineStr">
        <is>
          <t>API sin llave</t>
        </is>
      </c>
      <c r="H19" s="10" t="inlineStr">
        <is>
          <t>OGL-3.0</t>
        </is>
      </c>
      <c r="I19" s="10" t="inlineStr">
        <is>
          <t>Personas identificables</t>
        </is>
      </c>
      <c r="J19" s="10" t="inlineStr">
        <is>
          <t>fuerza Metropolitana (cubre Greater London menos la City of London)</t>
        </is>
      </c>
      <c r="K19" s="10" t="inlineStr">
        <is>
          <t>mensual, probado con jul-2026 y ago-2026</t>
        </is>
      </c>
      <c r="L19" s="10" t="inlineStr">
        <is>
          <t>Mensual</t>
        </is>
      </c>
      <c r="M19" s="10" t="inlineStr">
        <is>
          <t>2026-10-02</t>
        </is>
      </c>
      <c r="N19" s="10" t="inlineStr">
        <is>
          <t>Descartada</t>
        </is>
      </c>
      <c r="O19" s="10" t="inlineStr">
        <is>
          <t>Rastreo propio (no la propuso la IA)</t>
        </is>
      </c>
      <c r="P19" s="10" t="inlineStr">
        <is>
          <t>La licencia permite reutilizarla, pero cada registro trae edad, sexo, etnia autopercibida, motivo y ubicación aproximada de una persona detenida: entraría identificable aunque la licencia lo permita. Se descarta el registro individual; el MPS ya publica un tablero agregado por borough y mes que sí sirve (fuente candidata aparte, ver la familia de seguridad del catálogo). Dato que podría hacer daño si se cruza con otro (mismo principio de daño por cruce que el campo lsoa_mas_privado de F12, pregunta 5 del documento de justificación).</t>
        </is>
      </c>
    </row>
    <row r="20">
      <c r="A20" s="10" t="inlineStr">
        <is>
          <t>F16</t>
        </is>
      </c>
      <c r="B20" s="10" t="inlineStr">
        <is>
          <t>World Urbanization Prospects 2025 Revision · tamaño de la aglomeración de Londres</t>
        </is>
      </c>
      <c r="C20" s="10" t="inlineStr">
        <is>
          <t>UN DESA (Population Division)</t>
        </is>
      </c>
      <c r="D20" s="10" t="inlineStr">
        <is>
          <t>Entidad pública</t>
        </is>
      </c>
      <c r="E20" s="10" t="inlineStr">
        <is>
          <t>https://population.un.org/wup/</t>
        </is>
      </c>
      <c r="F20" s="10" t="inlineStr">
        <is>
          <t>Página web</t>
        </is>
      </c>
      <c r="G20" s="10" t="inlineStr">
        <is>
          <t>Solo PDF o página</t>
        </is>
      </c>
      <c r="H20" s="10" t="inlineStr">
        <is>
          <t>sin confirmar (no la vimos escrita en la página)</t>
        </is>
      </c>
      <c r="I20" s="10" t="inlineStr">
        <is>
          <t>No</t>
        </is>
      </c>
      <c r="J20" s="10" t="inlineStr">
        <is>
          <t>aglomeración urbana (definición propia de la ONU, no coincide con Greater London)</t>
        </is>
      </c>
      <c r="K20" s="10" t="inlineStr">
        <is>
          <t>revisión 2025</t>
        </is>
      </c>
      <c r="L20" s="10" t="inlineStr">
        <is>
          <t>No se sabe</t>
        </is>
      </c>
      <c r="M20" s="10" t="inlineStr">
        <is>
          <t>2026-10-02</t>
        </is>
      </c>
      <c r="N20" s="10" t="inlineStr">
        <is>
          <t>Candidata</t>
        </is>
      </c>
      <c r="O20" s="10" t="inlineStr">
        <is>
          <t>Rastreo propio (no la propuso la IA)</t>
        </is>
      </c>
      <c r="P20" s="10" t="inlineStr">
        <is>
          <t>Página de descarga, no API: hay que bajar la tabla y transcribir a mano, con documento y fecha. No encontré el texto de la licencia en la página, así que no se supone (regla del taller): queda pendiente de confirmar antes de usarla. El indicador equivalente del Banco Mundial (EN.URB.LCTY) sigue citando la revisión de 2018, no esta.</t>
        </is>
      </c>
    </row>
    <row r="21">
      <c r="A21" s="10" t="inlineStr">
        <is>
          <t>F17</t>
        </is>
      </c>
      <c r="B21" s="10" t="inlineStr">
        <is>
          <t>MPS Recorded Crime: Geographic Breakdown · nivel borough (los 33 de Londres)</t>
        </is>
      </c>
      <c r="C21" s="10" t="inlineStr">
        <is>
          <t>Metropolitan Police Service (London Datastore)</t>
        </is>
      </c>
      <c r="D21" s="10" t="inlineStr">
        <is>
          <t>Entidad pública</t>
        </is>
      </c>
      <c r="E21" s="10" t="inlineStr">
        <is>
          <t>https://data.london.gov.uk/download/exy3m/pf6/MPS%20Borough%20Level%20Crime%20(most%20recent%2024%20months).csv</t>
        </is>
      </c>
      <c r="F21" s="10" t="inlineStr">
        <is>
          <t>CSV</t>
        </is>
      </c>
      <c r="G21" s="10" t="inlineStr">
        <is>
          <t>Descarga directa</t>
        </is>
      </c>
      <c r="H21" s="10" t="inlineStr">
        <is>
          <t>OGL-2.0</t>
        </is>
      </c>
      <c r="I21" s="10" t="inlineStr">
        <is>
          <t>No: conteos de delitos por borough</t>
        </is>
      </c>
      <c r="J21" s="10" t="inlineStr">
        <is>
          <t>32 de los 33 boroughs (falta City of London, que tiene su propia policía)</t>
        </is>
      </c>
      <c r="K21" s="10" t="inlineStr">
        <is>
          <t>24 meses (202409 a 202608)</t>
        </is>
      </c>
      <c r="L21" s="10" t="inlineStr">
        <is>
          <t>Mensual</t>
        </is>
      </c>
      <c r="M21" s="10" t="inlineStr">
        <is>
          <t>2026-10-02</t>
        </is>
      </c>
      <c r="N21" s="10" t="inlineStr">
        <is>
          <t>Integrada al lago</t>
        </is>
      </c>
      <c r="O21" s="10" t="inlineStr">
        <is>
          <t>Rastreo propio, ajustado al construir el script</t>
        </is>
      </c>
      <c r="P21" s="10" t="inlineStr">
        <is>
          <t>El conjunto trae tres resoluciones (ward, borough, LSOA) con decenas de copias históricas con el mismo nombre; la fecha del portal no sirve para elegir la más reciente (viene vacía), así que se comparó la cabecera de varias copias hasta encontrar la que llega a agosto de 2026. Cruzado por nombre contra los boroughs del ONS: 32 coinciden letra por letra. 'Aviation Policing' (Heathrow) y 'Unknown' se cuentan aparte, nunca se reparten. Ya integrada: ingesta/pull_seguridad_boroughs.py, lago/seguridad_boroughs.json. Hallazgo: Westminster tiene la tasa más alta de los 32 (350,6 por 1.000 hab., frente a 58,1 de Richmond upon Thames). OJO (revisión del profesor): la tasa por 1.000 habitantes divide sobre población RESIDENTE mid-year, no sobre quien está físicamente en el borough. Westminster recibe a diario miles de trabajadores, turistas y gente de paso que este denominador no cuenta: la tasa por residente sobreestima su inseguridad frente a la población flotante real.</t>
        </is>
      </c>
    </row>
    <row r="22">
      <c r="A22" s="10" t="inlineStr">
        <is>
          <t>F18</t>
        </is>
      </c>
      <c r="B22" s="10" t="inlineStr">
        <is>
          <t>Contracts Finder · contratación pública en formato OCDS</t>
        </is>
      </c>
      <c r="C22" s="10" t="inlineStr">
        <is>
          <t>UK Government</t>
        </is>
      </c>
      <c r="D22" s="10" t="inlineStr">
        <is>
          <t>Entidad pública</t>
        </is>
      </c>
      <c r="E22" s="10" t="inlineStr">
        <is>
          <t>https://www.contractsfinder.service.gov.uk/Published/Notices/OCDS/Search?limit=1</t>
        </is>
      </c>
      <c r="F22" s="10" t="inlineStr">
        <is>
          <t>JSON</t>
        </is>
      </c>
      <c r="G22" s="10" t="inlineStr">
        <is>
          <t>API sin llave</t>
        </is>
      </c>
      <c r="H22" s="10" t="inlineStr">
        <is>
          <t>OGL-3.0</t>
        </is>
      </c>
      <c r="I22" s="10" t="inlineStr">
        <is>
          <t>No: contratos entre organizaciones</t>
        </is>
      </c>
      <c r="J22" s="10" t="inlineStr">
        <is>
          <t>Reino Unido completo (hay que filtrar los compradores que son autoridades de Londres)</t>
        </is>
      </c>
      <c r="K22" s="10" t="inlineStr">
        <is>
          <t>continua</t>
        </is>
      </c>
      <c r="L22" s="10" t="inlineStr">
        <is>
          <t>Tiempo real</t>
        </is>
      </c>
      <c r="M22" s="10" t="inlineStr">
        <is>
          <t>2026-10-02</t>
        </is>
      </c>
      <c r="N22" s="10" t="inlineStr">
        <is>
          <t>Descartada</t>
        </is>
      </c>
      <c r="O22" s="10" t="inlineStr">
        <is>
          <t>Rastreo propio (no la propuso la IA)</t>
        </is>
      </c>
      <c r="P22" s="10" t="inlineStr">
        <is>
          <t>Descartada: la licencia (OGL-3.0) sí permite reutilizarla, pero un registro real trae nombre, correo y celular de una persona (una funcionaria de un NHS Trust) en el campo contactPoint, y la API no tiene filtro geográfico confiable para limitarse a Londres. El equivalente al SEACE de Lima, para la pregunta «cómo se financia el municipio» del lado del gasto, no solo del presupuesto — queda pendiente.</t>
        </is>
      </c>
    </row>
    <row r="23">
      <c r="A23" s="10" t="inlineStr">
        <is>
          <t>F19</t>
        </is>
      </c>
      <c r="B23" s="10" t="inlineStr">
        <is>
          <t>London Air Quality Network · índice diario de calidad del aire por borough (Imperial College)</t>
        </is>
      </c>
      <c r="C23" s="10" t="inlineStr">
        <is>
          <t>Imperial College London</t>
        </is>
      </c>
      <c r="D23" s="10" t="inlineStr">
        <is>
          <t>Academia u ONG</t>
        </is>
      </c>
      <c r="E23" s="10" t="inlineStr">
        <is>
          <t>https://api.erg.ic.ac.uk/AirQuality/Daily/MonitoringIndex/GroupName=London/Date=AAAA-MM-DD/Json</t>
        </is>
      </c>
      <c r="F23" s="10" t="inlineStr">
        <is>
          <t>JSON</t>
        </is>
      </c>
      <c r="G23" s="10" t="inlineStr">
        <is>
          <t>API sin llave</t>
        </is>
      </c>
      <c r="H23" s="10" t="inlineStr">
        <is>
          <t>sin confirmar (no la vimos escrita en la página)</t>
        </is>
      </c>
      <c r="I23" s="10" t="inlineStr">
        <is>
          <t>No</t>
        </is>
      </c>
      <c r="J23" s="10" t="inlineStr">
        <is>
          <t>Varía día a día: entre 14 y 22 de los 33 boroughs en las pruebas hechas (el resto no tiene estación activa ese día)</t>
        </is>
      </c>
      <c r="K23" s="10" t="inlineStr">
        <is>
          <t>diaria (se pide el día anterior)</t>
        </is>
      </c>
      <c r="L23" s="10" t="inlineStr">
        <is>
          <t>Diaria</t>
        </is>
      </c>
      <c r="M23" s="10" t="inlineStr">
        <is>
          <t>2026-10-26</t>
        </is>
      </c>
      <c r="N23" s="10" t="inlineStr">
        <is>
          <t>Integrada al lago</t>
        </is>
      </c>
      <c r="O23" s="10" t="inlineStr">
        <is>
          <t>Rastreo propio (no la propuso la IA)</t>
        </is>
      </c>
      <c r="P23" s="10" t="inlineStr">
        <is>
          <t>URL cambió frente a la candidata original: esa era solo metadatos de estaciones; esta es el dato real del día. Ya integrada: ingesta/pull_aire_laqn.py, lago/aire_laqn.json. CORRECCIÓN 1 (sobre el primer intento): convertí la banda de texto (Low/Moderate/High) a un número propio de 1 a 4 y todo dio empatado en 1 — el mismo error que el taller critica en el tsunami de Lima (todo en cero, pero igual se nombra «la zona más expuesta»). CORRECCIÓN 2 (revisión del profesor): el índice por estación promediaba todas las especies medidas entre sí, mezclando contaminantes no comparables. El DAQI real toma el MÁXIMO por contaminante en cada estación, no el promedio: se corrigió así. El número de boroughs con estación activa varía por día, no es una cifra fija.</t>
        </is>
      </c>
    </row>
    <row r="24">
      <c r="A24" s="10" t="inlineStr">
        <is>
          <t>F20</t>
        </is>
      </c>
      <c r="B24" s="10" t="inlineStr">
        <is>
          <t>postcodes.io · geocodificar un código postal a borough, ward y LSOA</t>
        </is>
      </c>
      <c r="C24" s="10" t="inlineStr">
        <is>
          <t>postcodes.io</t>
        </is>
      </c>
      <c r="D24" s="10" t="inlineStr">
        <is>
          <t>No se sabe</t>
        </is>
      </c>
      <c r="E24" s="10" t="inlineStr">
        <is>
          <t>https://api.postcodes.io/postcodes/SW1A1AA</t>
        </is>
      </c>
      <c r="F24" s="10" t="inlineStr">
        <is>
          <t>JSON</t>
        </is>
      </c>
      <c r="G24" s="10" t="inlineStr">
        <is>
          <t>API sin llave</t>
        </is>
      </c>
      <c r="H24" s="10" t="inlineStr">
        <is>
          <t>sin confirmar (no la vimos escrita en la página)</t>
        </is>
      </c>
      <c r="I24" s="10" t="inlineStr">
        <is>
          <t>No: el código postal describe una zona, no a una persona</t>
        </is>
      </c>
      <c r="J24" s="10" t="inlineStr">
        <is>
          <t>Reino Unido completo</t>
        </is>
      </c>
      <c r="K24" s="10" t="inlineStr">
        <is>
          <t>continua</t>
        </is>
      </c>
      <c r="L24" s="10" t="inlineStr">
        <is>
          <t>No se sabe</t>
        </is>
      </c>
      <c r="M24" s="10" t="inlineStr">
        <is>
          <t>2026-10-02</t>
        </is>
      </c>
      <c r="N24" s="10" t="inlineStr">
        <is>
          <t>Candidata</t>
        </is>
      </c>
      <c r="O24" s="10" t="inlineStr">
        <is>
          <t>Rastreo propio (no la propuso la IA)</t>
        </is>
      </c>
      <c r="P24" s="10" t="inlineStr">
        <is>
          <t>Es herramienta, no dato de contenido: sirve para convertir una dirección o código postal en borough/ward/LSOA, el pegamento entre fuentes que vienen a escalas distintas. El código del proyecto es MIT (confirmado), pero la licencia de los datos geográficos que usa (Royal Mail, Ordnance Survey) todavía no la leí: no se supone.</t>
        </is>
      </c>
    </row>
    <row r="25">
      <c r="A25" s="10" t="inlineStr">
        <is>
          <t>F21</t>
        </is>
      </c>
      <c r="B25" s="10" t="inlineStr">
        <is>
          <t>Google News RSS · titulares sobre «London» (en-GB)</t>
        </is>
      </c>
      <c r="C25" s="10" t="inlineStr">
        <is>
          <t>Google</t>
        </is>
      </c>
      <c r="D25" s="10" t="inlineStr">
        <is>
          <t>Empresa privada</t>
        </is>
      </c>
      <c r="E25" s="10" t="inlineStr">
        <is>
          <t>https://news.google.com/rss/search?q=London&amp;hl=en-GB&amp;gl=GB&amp;ceid=GB:en</t>
        </is>
      </c>
      <c r="F25" s="10" t="inlineStr">
        <is>
          <t>Página web</t>
        </is>
      </c>
      <c r="G25" s="10" t="inlineStr">
        <is>
          <t>API sin llave</t>
        </is>
      </c>
      <c r="H25" s="10" t="inlineStr">
        <is>
          <t>uso-personal</t>
        </is>
      </c>
      <c r="I25" s="10" t="inlineStr">
        <is>
          <t>No</t>
        </is>
      </c>
      <c r="J25" s="10" t="inlineStr">
        <is>
          <t>titulares sobre Londres en inglés (sin filtrar por borough)</t>
        </is>
      </c>
      <c r="K25" s="10" t="inlineStr">
        <is>
          <t>ventana móvil (solo los más recientes)</t>
        </is>
      </c>
      <c r="L25" s="10" t="inlineStr">
        <is>
          <t>Diaria</t>
        </is>
      </c>
      <c r="M25" s="10" t="inlineStr">
        <is>
          <t>2026-10-02</t>
        </is>
      </c>
      <c r="N25" s="10" t="inlineStr">
        <is>
          <t>Candidata</t>
        </is>
      </c>
      <c r="O25" s="10" t="inlineStr">
        <is>
          <t>Rastreo propio (no la propuso la IA)</t>
        </is>
      </c>
      <c r="P25" s="10" t="inlineStr">
        <is>
          <t>El propio feed declara que se ofrece «solely for the purpose of rendering Google News results within a personal reader»: no es una licencia abierta, es permiso de uso personal. Igual que en Cerebro Lima, entraría solo detrás de una compuerta y sin republicar el contenido, citando siempre a la fuente original de cada titular.</t>
        </is>
      </c>
    </row>
    <row r="26">
      <c r="A26" s="10" t="inlineStr">
        <is>
          <t>F22</t>
        </is>
      </c>
      <c r="B26" s="10" t="inlineStr">
        <is>
          <t>Sentinel-2 L2A sobre Londres (catálogo STAC, Earth Search)</t>
        </is>
      </c>
      <c r="C26" s="10" t="inlineStr">
        <is>
          <t>ESA / Copernicus (vía AWS Earth Search, Element 84)</t>
        </is>
      </c>
      <c r="D26" s="10" t="inlineStr">
        <is>
          <t>Academia u ONG</t>
        </is>
      </c>
      <c r="E26" s="10" t="inlineStr">
        <is>
          <t>https://earth-search.aws.element84.com/v1/search?collections=sentinel-2-l2a&amp;bbox=-0.51,51.28,0.33,51.69&amp;limit=1</t>
        </is>
      </c>
      <c r="F26" s="10" t="inlineStr">
        <is>
          <t>GeoJSON</t>
        </is>
      </c>
      <c r="G26" s="10" t="inlineStr">
        <is>
          <t>API sin llave</t>
        </is>
      </c>
      <c r="H26" s="10" t="inlineStr">
        <is>
          <t>proprietary (términos de datos Sentinel de Copernicus, declarados por el propio STAC)</t>
        </is>
      </c>
      <c r="I26" s="10" t="inlineStr">
        <is>
          <t>No</t>
        </is>
      </c>
      <c r="J26" s="10" t="inlineStr">
        <is>
          <t>caja que cubre todo Greater London</t>
        </is>
      </c>
      <c r="K26" s="10" t="inlineStr">
        <is>
          <t>cada pocos días desde el lanzamiento del satélite</t>
        </is>
      </c>
      <c r="L26" s="10" t="inlineStr">
        <is>
          <t>No se sabe</t>
        </is>
      </c>
      <c r="M26" s="10" t="inlineStr">
        <is>
          <t>2026-10-02</t>
        </is>
      </c>
      <c r="N26" s="10" t="inlineStr">
        <is>
          <t>Candidata</t>
        </is>
      </c>
      <c r="O26" s="10" t="inlineStr">
        <is>
          <t>Rastreo propio (no la propuso la IA)</t>
        </is>
      </c>
      <c r="P26" s="10" t="inlineStr">
        <is>
          <t>11.347 escenas disponibles para la caja de Londres (hoy, 2026-10-02; eran 11.323 el 25-sep, sigue creciendo). El STAC declara license «proprietary», que en realidad remite a los términos de datos Sentinel de Copernicus: falta leer ese documento completo antes de integrarla. Primera fuente de la familia «desde arriba»: sirve para el gemelo territorial y para comparar fechas.</t>
        </is>
      </c>
    </row>
    <row r="27">
      <c r="A27" s="10" t="inlineStr">
        <is>
          <t>F23</t>
        </is>
      </c>
      <c r="B27" s="10" t="inlineStr">
        <is>
          <t>Council Tax levels set by local authorities in England 2026 to 2027 · Table 8a (Banda D por borough)</t>
        </is>
      </c>
      <c r="C27" s="10" t="inlineStr">
        <is>
          <t>MHCLG</t>
        </is>
      </c>
      <c r="D27" s="10" t="inlineStr">
        <is>
          <t>Entidad pública</t>
        </is>
      </c>
      <c r="E27" s="10" t="inlineStr">
        <is>
          <t>https://assets.publishing.service.gov.uk/media/69de1fa63e81003ae0422508/Tables_1-9_2026-27.ods</t>
        </is>
      </c>
      <c r="F27" s="10" t="inlineStr">
        <is>
          <t>ODS</t>
        </is>
      </c>
      <c r="G27" s="10" t="inlineStr">
        <is>
          <t>Descarga directa</t>
        </is>
      </c>
      <c r="H27" s="10" t="inlineStr">
        <is>
          <t>OGL-3.0</t>
        </is>
      </c>
      <c r="I27" s="10" t="inlineStr">
        <is>
          <t>No: cifras agregadas por autoridad local</t>
        </is>
      </c>
      <c r="J27" s="10" t="inlineStr">
        <is>
          <t>los 33 boroughs de Londres (dentro de todas las autoridades de Inglaterra)</t>
        </is>
      </c>
      <c r="K27" s="10" t="inlineStr">
        <is>
          <t>2026-2027</t>
        </is>
      </c>
      <c r="L27" s="10" t="inlineStr">
        <is>
          <t>Anual</t>
        </is>
      </c>
      <c r="M27" s="10" t="inlineStr">
        <is>
          <t>2026-10-02</t>
        </is>
      </c>
      <c r="N27" s="10" t="inlineStr">
        <is>
          <t>Integrada al lago</t>
        </is>
      </c>
      <c r="O27" s="10" t="inlineStr">
        <is>
          <t>Rastreo propio (no la propuso la IA)</t>
        </is>
      </c>
      <c r="P27" s="10" t="inlineStr">
        <is>
          <t>El archivo .ods trae dos tablas con el mismo nombre: «Table_10» resultó ser un formulario en blanco de recolección, no el resultado; la real es «Table_8a» dentro de este otro archivo. Se leyó con zipfile + xml.etree (un .ods es un zip con XML adentro), sin instalar librerías nuevas: comun.leer_ods, agregada hoy y reutilizable. Ya integrada: ingesta/pull_finanzas.py, lago/finanzas.json. Westminster cobra £539,04, puesto 32 de 33 (una de las tarifas más bajas de Inglaterra).</t>
        </is>
      </c>
    </row>
    <row r="28">
      <c r="A28" s="10" t="inlineStr">
        <is>
          <t>F24</t>
        </is>
      </c>
      <c r="B28" s="10" t="inlineStr">
        <is>
          <t>Statutory homelessness in England, por autoridad local (serie trimestral)</t>
        </is>
      </c>
      <c r="C28" s="10" t="inlineStr">
        <is>
          <t>MHCLG</t>
        </is>
      </c>
      <c r="D28" s="10" t="inlineStr">
        <is>
          <t>Entidad pública</t>
        </is>
      </c>
      <c r="E28" s="10" t="inlineStr">
        <is>
          <t>https://www.gov.uk/government/statistics/statutory-homelessness-in-england-january-to-march-2026</t>
        </is>
      </c>
      <c r="F28" s="10" t="inlineStr">
        <is>
          <t>XLSX</t>
        </is>
      </c>
      <c r="G28" s="10" t="inlineStr">
        <is>
          <t>Solo PDF o página</t>
        </is>
      </c>
      <c r="H28" s="10" t="inlineStr">
        <is>
          <t>OGL-3.0</t>
        </is>
      </c>
      <c r="I28" s="10" t="inlineStr">
        <is>
          <t>No: conteos agregados por autoridad local</t>
        </is>
      </c>
      <c r="J28" s="10" t="inlineStr">
        <is>
          <t>los 33 boroughs de Londres, dentro de todas las autoridades de Inglaterra</t>
        </is>
      </c>
      <c r="K28" s="10" t="inlineStr">
        <is>
          <t>trimestral, último: enero-marzo 2026</t>
        </is>
      </c>
      <c r="L28" s="10" t="inlineStr">
        <is>
          <t>Trimestral</t>
        </is>
      </c>
      <c r="M28" s="10" t="inlineStr">
        <is>
          <t>2026-10-02</t>
        </is>
      </c>
      <c r="N28" s="10" t="inlineStr">
        <is>
          <t>Candidata</t>
        </is>
      </c>
      <c r="O28" s="10" t="inlineStr">
        <is>
          <t>Rastreo propio (no la propuso la IA)</t>
        </is>
      </c>
      <c r="P28" s="10" t="inlineStr">
        <is>
          <t>Hueco real del sistema: hay privación (F12) y salud (F25), pero nada de personas sin hogar. El registro individual (H-CLIC) no es público; solo entran conteos agregados por autoridad local. Como IMD y Council Tax, es una colección de gov.uk: hay que ubicar la tabla exacta dentro de los adjuntos antes de poder ingerirla (mismo patrón que F12 y F23).</t>
        </is>
      </c>
    </row>
    <row r="29">
      <c r="A29" s="10" t="inlineStr">
        <is>
          <t>F25</t>
        </is>
      </c>
      <c r="B29" s="10" t="inlineStr">
        <is>
          <t>OHID Fingertips · Life expectancy at birth (indicador 90366), por borough y sexo</t>
        </is>
      </c>
      <c r="C29" s="10" t="inlineStr">
        <is>
          <t>OHID (Office for Health Improvement and Disparities)</t>
        </is>
      </c>
      <c r="D29" s="10" t="inlineStr">
        <is>
          <t>Entidad pública</t>
        </is>
      </c>
      <c r="E29" s="10" t="inlineStr">
        <is>
          <t>https://fingertips.phe.org.uk/api/all_data/csv/by_indicator_id?indicator_ids=90366&amp;child_area_type_id=501&amp;parent_area_type_id=15</t>
        </is>
      </c>
      <c r="F29" s="10" t="inlineStr">
        <is>
          <t>CSV</t>
        </is>
      </c>
      <c r="G29" s="10" t="inlineStr">
        <is>
          <t>API sin llave</t>
        </is>
      </c>
      <c r="H29" s="10" t="inlineStr">
        <is>
          <t>OGL-3.0</t>
        </is>
      </c>
      <c r="I29" s="10" t="inlineStr">
        <is>
          <t>No: indicadores agregados</t>
        </is>
      </c>
      <c r="J29" s="10" t="inlineStr">
        <is>
          <t>32 de los 33 boroughs (City of London sin dato: muestra demasiado pequeña, lo dice la propia fuente)</t>
        </is>
      </c>
      <c r="K29" s="10" t="inlineStr">
        <is>
          <t>2023-2025 (trienal)</t>
        </is>
      </c>
      <c r="L29" s="10" t="inlineStr">
        <is>
          <t>No se sabe</t>
        </is>
      </c>
      <c r="M29" s="10" t="inlineStr">
        <is>
          <t>2026-10-02</t>
        </is>
      </c>
      <c r="N29" s="10" t="inlineStr">
        <is>
          <t>Integrada al lago</t>
        </is>
      </c>
      <c r="O29" s="10" t="inlineStr">
        <is>
          <t>Rastreo propio (no la propuso la IA)</t>
        </is>
      </c>
      <c r="P29" s="10" t="inlineStr">
        <is>
          <t>URL cambió frente a la candidata original: el endpoint de metadatos por grupo (api/indicator_metadata/by_group_id) responde 500; el indicador se encontró leyendo la cabecera del volcado masivo del grupo «Life expectancy and causes of death» (perfil 26). Ya integrada: ingesta/pull_salud.py, lago/salud.json. Primera fuente de salud del lago. Westminster: 84,5 años, puesto 3 de 32; 5 años de diferencia entre el borough más alto (Kensington and Chelsea, 85,2) y el más bajo (Barking and Dagenham, 80,2).</t>
        </is>
      </c>
    </row>
    <row r="30">
      <c r="A30" s="10" t="inlineStr">
        <is>
          <t>F26</t>
        </is>
      </c>
      <c r="B30" s="10" t="inlineStr">
        <is>
          <t>Regional gross domestic product: all ITL regions (serie 1998-2024)</t>
        </is>
      </c>
      <c r="C30" s="10" t="inlineStr">
        <is>
          <t>Office for National Statistics</t>
        </is>
      </c>
      <c r="D30" s="10" t="inlineStr">
        <is>
          <t>Entidad pública</t>
        </is>
      </c>
      <c r="E30" s="10" t="inlineStr">
        <is>
          <t>https://www.ons.gov.uk/file?uri=/economy/grossdomesticproductgdp/datasets/regionalgrossdomesticproductallnutslevelregions/1998to2024/regionalgrossdomesticproductgdpbyallinternationalterritoriallevelitlregions.xlsx</t>
        </is>
      </c>
      <c r="F30" s="10" t="inlineStr">
        <is>
          <t>XLSX</t>
        </is>
      </c>
      <c r="G30" s="10" t="inlineStr">
        <is>
          <t>Descarga directa</t>
        </is>
      </c>
      <c r="H30" s="10" t="inlineStr">
        <is>
          <t>OGL-3.0</t>
        </is>
      </c>
      <c r="I30" s="10" t="inlineStr">
        <is>
          <t>No: estimaciones agregadas</t>
        </is>
      </c>
      <c r="J30" s="10" t="inlineStr">
        <is>
          <t>regiones ITL1 a ITL3 (Londres entra como región ITL1, con sus subregiones)</t>
        </is>
      </c>
      <c r="K30" s="10" t="inlineStr">
        <is>
          <t>1998 a 2024</t>
        </is>
      </c>
      <c r="L30" s="10" t="inlineStr">
        <is>
          <t>Anual</t>
        </is>
      </c>
      <c r="M30" s="10" t="inlineStr">
        <is>
          <t>2026-10-02</t>
        </is>
      </c>
      <c r="N30" s="10" t="inlineStr">
        <is>
          <t>Candidata</t>
        </is>
      </c>
      <c r="O30" s="10" t="inlineStr">
        <is>
          <t>Rastreo propio (no la propuso la IA)</t>
        </is>
      </c>
      <c r="P30" s="10" t="inlineStr">
        <is>
          <t>La página del conjunto es solo metadatos; hoy encontré yo mismo el archivo descargable más reciente entre los 7 que ofrece la página (hay una versión por corte de años: 1998-2018 hasta 1998-2024). PIB y PIB per cápita de Londres como región, útil para comparar con el resto del Reino Unido.</t>
        </is>
      </c>
    </row>
    <row r="31">
      <c r="A31" s="10" t="inlineStr">
        <is>
          <t>F27</t>
        </is>
      </c>
      <c r="B31" s="10" t="inlineStr">
        <is>
          <t>Planning Data · flood risk zones (zonas de riesgo de inundación)</t>
        </is>
      </c>
      <c r="C31" s="10" t="inlineStr">
        <is>
          <t>MHCLG (republica el Flood Map for Planning de la Environment Agency)</t>
        </is>
      </c>
      <c r="D31" s="10" t="inlineStr">
        <is>
          <t>Entidad pública</t>
        </is>
      </c>
      <c r="E31" s="10" t="inlineStr">
        <is>
          <t>https://www.planning.data.gov.uk/entity.json?dataset=flood-risk-zone&amp;geometry_curie=statistical-geography:E09000033&amp;geometry_relation=intersects&amp;limit=100</t>
        </is>
      </c>
      <c r="F31" s="10" t="inlineStr">
        <is>
          <t>GeoJSON/JSON</t>
        </is>
      </c>
      <c r="G31" s="10" t="inlineStr">
        <is>
          <t>API sin llave</t>
        </is>
      </c>
      <c r="H31" s="10" t="inlineStr">
        <is>
          <t>OGL-3.0</t>
        </is>
      </c>
      <c r="I31" s="10" t="inlineStr">
        <is>
          <t>No</t>
        </is>
      </c>
      <c r="J31" s="10" t="inlineStr">
        <is>
          <t>City of Westminster (geometría oficial, no bbox: ver observaciones)</t>
        </is>
      </c>
      <c r="K31" s="10" t="inlineStr">
        <is>
          <t>continua (entry-date por entidad)</t>
        </is>
      </c>
      <c r="L31" s="10" t="inlineStr">
        <is>
          <t>No se sabe</t>
        </is>
      </c>
      <c r="M31" s="10" t="inlineStr">
        <is>
          <t>2026-10-02</t>
        </is>
      </c>
      <c r="N31" s="10" t="inlineStr">
        <is>
          <t>Integrada al lago</t>
        </is>
      </c>
      <c r="O31" s="10" t="inlineStr">
        <is>
          <t>Rastreo propio, corregido tras probar en vivo</t>
        </is>
      </c>
      <c r="P31" s="10" t="inlineStr">
        <is>
          <t>CORRECCIÓN sobre lo que había fichado antes en esta fila: no es el monitoreo en tiempo real de la Environment Agency (ea_inundaciones), es la zona de riesgo ESTRUCTURAL (1 bajo, 2 medio, 3 alto). El parámetro bbox de esta API no funciona (lo ignora y devuelve entidades de las Islas Scilly); se filtra por geometry_curie contra la geometría oficial de Westminster. Resultado real: el centro administrativo de Westminster cae en zona 2 Y zona 3 a la vez (2 polígonos). Ya integrada: ingesta/pull_riesgo.py, lago/riesgo.json.</t>
        </is>
      </c>
    </row>
    <row r="32">
      <c r="A32" s="10" t="inlineStr">
        <is>
          <t>F28</t>
        </is>
      </c>
      <c r="B32" s="10" t="inlineStr">
        <is>
          <t>NaPTAN · paradas de transporte público clasificadas por borough, los 33 (Londres)</t>
        </is>
      </c>
      <c r="C32" s="10" t="inlineStr">
        <is>
          <t>Department for Transport</t>
        </is>
      </c>
      <c r="D32" s="10" t="inlineStr">
        <is>
          <t>Entidad pública</t>
        </is>
      </c>
      <c r="E32" s="10" t="inlineStr">
        <is>
          <t>https://naptan.api.dft.gov.uk/v1/access-nodes?dataFormat=csv&amp;atcoAreaCodes=490</t>
        </is>
      </c>
      <c r="F32" s="10" t="inlineStr">
        <is>
          <t>CSV</t>
        </is>
      </c>
      <c r="G32" s="10" t="inlineStr">
        <is>
          <t>API sin llave</t>
        </is>
      </c>
      <c r="H32" s="10" t="inlineStr">
        <is>
          <t>OGL-3.0</t>
        </is>
      </c>
      <c r="I32" s="10" t="inlineStr">
        <is>
          <t>No</t>
        </is>
      </c>
      <c r="J32" s="10" t="inlineStr">
        <is>
          <t>33 boroughs de Londres (21.252 de 21.284 paradas activas, clasificadas)</t>
        </is>
      </c>
      <c r="K32" s="10" t="inlineStr">
        <is>
          <t>continua</t>
        </is>
      </c>
      <c r="L32" s="10" t="inlineStr">
        <is>
          <t>No se sabe</t>
        </is>
      </c>
      <c r="M32" s="10" t="inlineStr">
        <is>
          <t>2026-10-02</t>
        </is>
      </c>
      <c r="N32" s="10" t="inlineStr">
        <is>
          <t>Integrada al lago</t>
        </is>
      </c>
      <c r="O32" s="10" t="inlineStr">
        <is>
          <t>Rastreo propio (no la propuso la IA)</t>
        </is>
      </c>
      <c r="P32" s="10" t="inlineStr">
        <is>
          <t>El CSV no trae el borough de cada parada, solo coordenadas: se clasificó por punto dentro de polígono contra los 33 boroughs oficiales (territorio/boroughs.geojson), con una función nueva y reutilizable en comun.py (punto_en_multipoligono, clasificador_de_boroughs), sin librerías de geometría externas. Ya integrada: ingesta/pull_transporte_boroughs.py, lago/transporte_boroughs.json. Bromley tiene más paradas (1.317) que ningún otro borough; Westminster queda puesto 13 de 33 (673), pese a ser el centro: es físicamente pequeño frente a boroughs periféricos más extensos.</t>
        </is>
      </c>
    </row>
    <row r="33">
      <c r="A33" s="10" t="inlineStr">
        <is>
          <t>F29</t>
        </is>
      </c>
      <c r="B33" s="10" t="inlineStr">
        <is>
          <t>DfE · Explore Education Statistics API (publicaciones)</t>
        </is>
      </c>
      <c r="C33" s="10" t="inlineStr">
        <is>
          <t>Department for Education</t>
        </is>
      </c>
      <c r="D33" s="10" t="inlineStr">
        <is>
          <t>Entidad pública</t>
        </is>
      </c>
      <c r="E33" s="10" t="inlineStr">
        <is>
          <t>https://api.education.gov.uk/statistics/v1/publications?page=1&amp;pageSize=2</t>
        </is>
      </c>
      <c r="F33" s="10" t="inlineStr">
        <is>
          <t>JSON</t>
        </is>
      </c>
      <c r="G33" s="10" t="inlineStr">
        <is>
          <t>API sin llave</t>
        </is>
      </c>
      <c r="H33" s="10" t="inlineStr">
        <is>
          <t>OGL-3.0</t>
        </is>
      </c>
      <c r="I33" s="10" t="inlineStr">
        <is>
          <t>No: estadísticas agregadas</t>
        </is>
      </c>
      <c r="J33" s="10" t="inlineStr">
        <is>
          <t>variable según publicación (escuela, autoridad local)</t>
        </is>
      </c>
      <c r="K33" s="10" t="inlineStr">
        <is>
          <t>continua, según cada publicación</t>
        </is>
      </c>
      <c r="L33" s="10" t="inlineStr">
        <is>
          <t>No se sabe</t>
        </is>
      </c>
      <c r="M33" s="10" t="inlineStr">
        <is>
          <t>2026-10-02</t>
        </is>
      </c>
      <c r="N33" s="10" t="inlineStr">
        <is>
          <t>Candidata</t>
        </is>
      </c>
      <c r="O33" s="10" t="inlineStr">
        <is>
          <t>Rastreo propio (no la propuso la IA)</t>
        </is>
      </c>
      <c r="P33" s="10" t="inlineStr">
        <is>
          <t>25 publicaciones expuestas por la API; el resto del catálogo de EES solo existe en la web, sin API. Primera fuente de educación del catálogo: matrícula, ausentismo y resultados por autoridad local.</t>
        </is>
      </c>
    </row>
    <row r="34">
      <c r="A34" s="10" t="inlineStr">
        <is>
          <t>F30</t>
        </is>
      </c>
      <c r="B34" s="10" t="inlineStr">
        <is>
          <t>Companies House · Free Company Data Product (datos básicos de todas las empresas)</t>
        </is>
      </c>
      <c r="C34" s="10" t="inlineStr">
        <is>
          <t>Companies House</t>
        </is>
      </c>
      <c r="D34" s="10" t="inlineStr">
        <is>
          <t>Entidad pública</t>
        </is>
      </c>
      <c r="E34" s="10" t="inlineStr">
        <is>
          <t>https://download.companieshouse.gov.uk/en_output.html</t>
        </is>
      </c>
      <c r="F34" s="10" t="inlineStr">
        <is>
          <t>CSV</t>
        </is>
      </c>
      <c r="G34" s="10" t="inlineStr">
        <is>
          <t>Descarga directa</t>
        </is>
      </c>
      <c r="H34" s="10" t="inlineStr">
        <is>
          <t>sin confirmar (no la vimos escrita en la página)</t>
        </is>
      </c>
      <c r="I34" s="10" t="inlineStr">
        <is>
          <t>Personas identificables</t>
        </is>
      </c>
      <c r="J34" s="10" t="inlineStr">
        <is>
          <t>Reino Unido completo (hay que filtrar por código postal o dirección de Londres)</t>
        </is>
      </c>
      <c r="K34" s="10" t="inlineStr">
        <is>
          <t>mensual</t>
        </is>
      </c>
      <c r="L34" s="10" t="inlineStr">
        <is>
          <t>Mensual</t>
        </is>
      </c>
      <c r="M34" s="10" t="inlineStr">
        <is>
          <t>2026-10-02</t>
        </is>
      </c>
      <c r="N34" s="10" t="inlineStr">
        <is>
          <t>Descartada</t>
        </is>
      </c>
      <c r="O34" s="10" t="inlineStr">
        <is>
          <t>Rastreo propio (no la propuso la IA)</t>
        </is>
      </c>
      <c r="P34" s="10" t="inlineStr">
        <is>
          <t>Archivo grande, con dirección registrada de cada empresa y, en algunas razones sociales de autónomos, el nombre de una persona. No se encontró el texto de la licencia. UK Business Counts (F14 de Nomis, ya rastreada) da el mismo conteo de empresas por sector y tamaño, agregado y con licencia OGL confirmada: no hace falta bajar este archivo para contar empresas.</t>
        </is>
      </c>
    </row>
    <row r="35">
      <c r="A35" s="10" t="inlineStr">
        <is>
          <t>F31</t>
        </is>
      </c>
      <c r="B35" s="10" t="inlineStr">
        <is>
          <t>Camden Open Data · catálogo del portal (Socrata, región UE)</t>
        </is>
      </c>
      <c r="C35" s="10" t="inlineStr">
        <is>
          <t>London Borough of Camden</t>
        </is>
      </c>
      <c r="D35" s="10" t="inlineStr">
        <is>
          <t>Entidad pública</t>
        </is>
      </c>
      <c r="E35" s="10" t="inlineStr">
        <is>
          <t>https://api.eu.socrata.com/api/catalog/v1?domains=opendata.camden.gov.uk&amp;limit=1</t>
        </is>
      </c>
      <c r="F35" s="10" t="inlineStr">
        <is>
          <t>JSON</t>
        </is>
      </c>
      <c r="G35" s="10" t="inlineStr">
        <is>
          <t>API sin llave</t>
        </is>
      </c>
      <c r="H35" s="10" t="inlineStr">
        <is>
          <t>sin confirmar (la licencia va por conjunto, no por portal)</t>
        </is>
      </c>
      <c r="I35" s="10" t="inlineStr">
        <is>
          <t>Depende del conjunto (hay un registro de licencias HMO)</t>
        </is>
      </c>
      <c r="J35" s="10" t="inlineStr">
        <is>
          <t>borough de Camden (uno de los 33)</t>
        </is>
      </c>
      <c r="K35" s="10" t="inlineStr">
        <is>
          <t>continua, según cada conjunto</t>
        </is>
      </c>
      <c r="L35" s="10" t="inlineStr">
        <is>
          <t>No se sabe</t>
        </is>
      </c>
      <c r="M35" s="10" t="inlineStr">
        <is>
          <t>2026-10-02</t>
        </is>
      </c>
      <c r="N35" s="10" t="inlineStr">
        <is>
          <t>Candidata</t>
        </is>
      </c>
      <c r="O35" s="10" t="inlineStr">
        <is>
          <t>Rastreo propio (no la propuso la IA)</t>
        </is>
      </c>
      <c r="P35" s="10" t="inlineStr">
        <is>
          <t>869 conjuntos en el portal. Ojo: el catálogo vive en la región UE de Socrata (api.eu.socrata.com); la misma consulta a api.us.socrata.com responde «Domain not found». Es el único portal de borough que rastreamos hasta ahora (hay 32 más, uno por cada borough además de Camden, sin tocar todavía).</t>
        </is>
      </c>
    </row>
    <row r="36">
      <c r="A36" s="10" t="inlineStr">
        <is>
          <t>F32</t>
        </is>
      </c>
      <c r="B36" s="10" t="inlineStr">
        <is>
          <t>Bank of England Database · Bank Rate (IUDBEDR)</t>
        </is>
      </c>
      <c r="C36" s="10" t="inlineStr">
        <is>
          <t>Bank of England</t>
        </is>
      </c>
      <c r="D36" s="10" t="inlineStr">
        <is>
          <t>Entidad pública</t>
        </is>
      </c>
      <c r="E36" s="10" t="inlineStr">
        <is>
          <t>https://www.bankofengland.co.uk/boeapps/database/_iadb-fromshowcolumns.asp?csv.x=yes&amp;Datefrom=01/Jan/2025&amp;Dateto=now&amp;SeriesCodes=IUDBEDR&amp;CSVF=TN&amp;UsingCodes=Y&amp;VPD=Y&amp;VFD=N</t>
        </is>
      </c>
      <c r="F36" s="10" t="inlineStr">
        <is>
          <t>CSV</t>
        </is>
      </c>
      <c r="G36" s="10" t="inlineStr">
        <is>
          <t>Descarga directa</t>
        </is>
      </c>
      <c r="H36" s="10" t="inlineStr">
        <is>
          <t>OGL-3.0</t>
        </is>
      </c>
      <c r="I36" s="10" t="inlineStr">
        <is>
          <t>No</t>
        </is>
      </c>
      <c r="J36" s="10" t="inlineStr">
        <is>
          <t>país (Reino Unido)</t>
        </is>
      </c>
      <c r="K36" s="10" t="inlineStr">
        <is>
          <t>enero 2025 a hoy</t>
        </is>
      </c>
      <c r="L36" s="10" t="inlineStr">
        <is>
          <t>No se sabe</t>
        </is>
      </c>
      <c r="M36" s="10" t="inlineStr">
        <is>
          <t>2026-10-02</t>
        </is>
      </c>
      <c r="N36" s="10" t="inlineStr">
        <is>
          <t>Candidata</t>
        </is>
      </c>
      <c r="O36" s="10" t="inlineStr">
        <is>
          <t>Rastreo propio (no la propuso la IA)</t>
        </is>
      </c>
      <c r="P36" s="10" t="inlineStr">
        <is>
          <t>Tasa de referencia del Banco de Inglaterra, 3,75 % al probarla. Cualquier otra serie de la base se pide cambiando el parámetro SeriesCodes en la misma URL.</t>
        </is>
      </c>
    </row>
    <row r="37">
      <c r="A37" s="10" t="inlineStr">
        <is>
          <t>F33</t>
        </is>
      </c>
      <c r="B37" s="10" t="inlineStr">
        <is>
          <t>ONS · CPI annual rate (D7G7, serie MM23)</t>
        </is>
      </c>
      <c r="C37" s="10" t="inlineStr">
        <is>
          <t>Office for National Statistics</t>
        </is>
      </c>
      <c r="D37" s="10" t="inlineStr">
        <is>
          <t>Entidad pública</t>
        </is>
      </c>
      <c r="E37" s="10" t="inlineStr">
        <is>
          <t>https://www.ons.gov.uk/economy/inflationandpriceindices/timeseries/d7g7/mm23/data</t>
        </is>
      </c>
      <c r="F37" s="10" t="inlineStr">
        <is>
          <t>JSON</t>
        </is>
      </c>
      <c r="G37" s="10" t="inlineStr">
        <is>
          <t>API sin llave</t>
        </is>
      </c>
      <c r="H37" s="10" t="inlineStr">
        <is>
          <t>OGL-3.0</t>
        </is>
      </c>
      <c r="I37" s="10" t="inlineStr">
        <is>
          <t>No</t>
        </is>
      </c>
      <c r="J37" s="10" t="inlineStr">
        <is>
          <t>país (Reino Unido)</t>
        </is>
      </c>
      <c r="K37" s="10" t="inlineStr">
        <is>
          <t>serie mensual desde 1989 hasta ago-2026</t>
        </is>
      </c>
      <c r="L37" s="10" t="inlineStr">
        <is>
          <t>Mensual</t>
        </is>
      </c>
      <c r="M37" s="10" t="inlineStr">
        <is>
          <t>2026-10-02</t>
        </is>
      </c>
      <c r="N37" s="10" t="inlineStr">
        <is>
          <t>Candidata</t>
        </is>
      </c>
      <c r="O37" s="10" t="inlineStr">
        <is>
          <t>Rastreo propio (no la propuso la IA)</t>
        </is>
      </c>
      <c r="P37" s="10" t="inlineStr">
        <is>
          <t>Inflación interanual del Reino Unido: 3,1 % en agosto de 2026. Sirve de contexto macro, igual que el BCRP en Cerebro Lima.</t>
        </is>
      </c>
    </row>
    <row r="38">
      <c r="A38" s="10" t="inlineStr">
        <is>
          <t>F34</t>
        </is>
      </c>
      <c r="B38" s="10" t="inlineStr">
        <is>
          <t>Met Office · Weather DataHub (pronóstico oficial por punto)</t>
        </is>
      </c>
      <c r="C38" s="10" t="inlineStr">
        <is>
          <t>Met Office</t>
        </is>
      </c>
      <c r="D38" s="10" t="inlineStr">
        <is>
          <t>Entidad pública</t>
        </is>
      </c>
      <c r="E38" s="10" t="inlineStr">
        <is>
          <t>https://data.hub.api.metoffice.gov.uk/sitespecific/v0/point/hourly?latitude=51.5&amp;longitude=-0.12</t>
        </is>
      </c>
      <c r="F38" s="10" t="inlineStr">
        <is>
          <t>JSON</t>
        </is>
      </c>
      <c r="G38" s="10" t="inlineStr">
        <is>
          <t>API con llave gratuita</t>
        </is>
      </c>
      <c r="H38" s="10" t="inlineStr">
        <is>
          <t>sin confirmar (no la vimos escrita en la página)</t>
        </is>
      </c>
      <c r="I38" s="10" t="inlineStr">
        <is>
          <t>No</t>
        </is>
      </c>
      <c r="J38" s="10" t="inlineStr">
        <is>
          <t>punto (cualquier coordenada del Reino Unido)</t>
        </is>
      </c>
      <c r="K38" s="10" t="inlineStr">
        <is>
          <t>pronóstico horario</t>
        </is>
      </c>
      <c r="L38" s="10" t="inlineStr">
        <is>
          <t>Diaria</t>
        </is>
      </c>
      <c r="M38" s="10" t="inlineStr">
        <is>
          <t>2026-10-02</t>
        </is>
      </c>
      <c r="N38" s="10" t="inlineStr">
        <is>
          <t>Candidata</t>
        </is>
      </c>
      <c r="O38" s="10" t="inlineStr">
        <is>
          <t>Rastreo propio (no la propuso la IA)</t>
        </is>
      </c>
      <c r="P38" s="10" t="inlineStr">
        <is>
          <t>Responde 401 «Missing Credentials»: pide llave, y no comprobamos si es gratuita. Es el pronóstico oficial del gobierno; Open-Meteo (ya integrado, F06) no necesita llave y cubre lo mismo, así que esta solo se justifica si se necesita precisión oficial.</t>
        </is>
      </c>
    </row>
    <row r="39">
      <c r="A39" s="10" t="inlineStr">
        <is>
          <t>F35</t>
        </is>
      </c>
      <c r="B39" s="10" t="inlineStr">
        <is>
          <t>DfT · Bus Open Data Service (horarios y posición de buses)</t>
        </is>
      </c>
      <c r="C39" s="10" t="inlineStr">
        <is>
          <t>Department for Transport</t>
        </is>
      </c>
      <c r="D39" s="10" t="inlineStr">
        <is>
          <t>Entidad pública</t>
        </is>
      </c>
      <c r="E39" s="10" t="inlineStr">
        <is>
          <t>https://data.bus-data.dft.gov.uk/api/v1/dataset/?limit=1</t>
        </is>
      </c>
      <c r="F39" s="10" t="inlineStr">
        <is>
          <t>JSON</t>
        </is>
      </c>
      <c r="G39" s="10" t="inlineStr">
        <is>
          <t>API con llave gratuita</t>
        </is>
      </c>
      <c r="H39" s="10" t="inlineStr">
        <is>
          <t>sin confirmar (no la vimos escrita en la página)</t>
        </is>
      </c>
      <c r="I39" s="10" t="inlineStr">
        <is>
          <t>No</t>
        </is>
      </c>
      <c r="J39" s="10" t="inlineStr">
        <is>
          <t>Reino Unido completo (filtrar por operador u origen en Londres)</t>
        </is>
      </c>
      <c r="K39" s="10" t="inlineStr">
        <is>
          <t>tiempo real</t>
        </is>
      </c>
      <c r="L39" s="10" t="inlineStr">
        <is>
          <t>Tiempo real</t>
        </is>
      </c>
      <c r="M39" s="10" t="inlineStr">
        <is>
          <t>2026-10-02</t>
        </is>
      </c>
      <c r="N39" s="10" t="inlineStr">
        <is>
          <t>Candidata</t>
        </is>
      </c>
      <c r="O39" s="10" t="inlineStr">
        <is>
          <t>Rastreo propio (no la propuso la IA)</t>
        </is>
      </c>
      <c r="P39" s="10" t="inlineStr">
        <is>
          <t>Responde 401 «Authentication credentials were not provided»: pide llave gratuita (no verificada). Complementaría a NaPTAN (F28, paradas fijas) con la posición en vivo de los buses.</t>
        </is>
      </c>
    </row>
    <row r="40">
      <c r="A40" s="10" t="inlineStr">
        <is>
          <t>F36</t>
        </is>
      </c>
      <c r="B40" s="10" t="inlineStr">
        <is>
          <t>Electoral Commission · resultados de elecciones y referendos pasados</t>
        </is>
      </c>
      <c r="C40" s="10" t="inlineStr">
        <is>
          <t>Electoral Commission</t>
        </is>
      </c>
      <c r="D40" s="10" t="inlineStr">
        <is>
          <t>Entidad pública</t>
        </is>
      </c>
      <c r="E40" s="10" t="inlineStr">
        <is>
          <t>https://www.electoralcommission.org.uk/research-reports-and-data/our-reports-and-data-past-elections-and-referendums</t>
        </is>
      </c>
      <c r="F40" s="10" t="inlineStr">
        <is>
          <t>Página web</t>
        </is>
      </c>
      <c r="G40" s="10" t="inlineStr">
        <is>
          <t>Bloquea scripts o pide sesión</t>
        </is>
      </c>
      <c r="H40" s="10" t="inlineStr">
        <is>
          <t>sin confirmar (no se pudo leer la página)</t>
        </is>
      </c>
      <c r="I40" s="10" t="inlineStr">
        <is>
          <t>No</t>
        </is>
      </c>
      <c r="J40" s="10" t="inlineStr">
        <is>
          <t>circunscripción electoral</t>
        </is>
      </c>
      <c r="K40" s="10" t="inlineStr">
        <is>
          <t>histórico, por elección</t>
        </is>
      </c>
      <c r="L40" s="10" t="inlineStr">
        <is>
          <t>No se sabe</t>
        </is>
      </c>
      <c r="M40" s="10" t="inlineStr">
        <is>
          <t>2026-10-02</t>
        </is>
      </c>
      <c r="N40" s="10" t="inlineStr">
        <is>
          <t>No responde</t>
        </is>
      </c>
      <c r="O40" s="10" t="inlineStr">
        <is>
          <t>Rastreo propio (no la propuso la IA)</t>
        </is>
      </c>
      <c r="P40" s="10" t="inlineStr">
        <is>
          <t>Responde 403 con un desafío de Cloudflare («Just a moment...») a cualquier petición de script, hoy igual que cuando se rastreó. No se esquiva: si se necesita, se visita a mano desde un navegador y se transcribe con documento y fecha.</t>
        </is>
      </c>
    </row>
    <row r="41">
      <c r="A41" s="10" t="inlineStr">
        <is>
          <t>F37</t>
        </is>
      </c>
      <c r="B41" s="10" t="inlineStr">
        <is>
          <t>NHS Digital · pacientes registrados por consultorio médico</t>
        </is>
      </c>
      <c r="C41" s="10" t="inlineStr">
        <is>
          <t>NHS England</t>
        </is>
      </c>
      <c r="D41" s="10" t="inlineStr">
        <is>
          <t>Entidad pública</t>
        </is>
      </c>
      <c r="E41" s="10" t="inlineStr">
        <is>
          <t>https://digital.nhs.uk/data-and-information/publications/statistical/patients-registered-at-a-gp-practice</t>
        </is>
      </c>
      <c r="F41" s="10" t="inlineStr">
        <is>
          <t>Página web</t>
        </is>
      </c>
      <c r="G41" s="10" t="inlineStr">
        <is>
          <t>Bloquea scripts o pide sesión</t>
        </is>
      </c>
      <c r="H41" s="10" t="inlineStr">
        <is>
          <t>sin confirmar (no se pudo leer la página)</t>
        </is>
      </c>
      <c r="I41" s="10" t="inlineStr">
        <is>
          <t>No: conteos por consultorio</t>
        </is>
      </c>
      <c r="J41" s="10" t="inlineStr">
        <is>
          <t>consultorio médico (con dirección y borough)</t>
        </is>
      </c>
      <c r="K41" s="10" t="inlineStr">
        <is>
          <t>mensual</t>
        </is>
      </c>
      <c r="L41" s="10" t="inlineStr">
        <is>
          <t>Mensual</t>
        </is>
      </c>
      <c r="M41" s="10" t="inlineStr">
        <is>
          <t>2026-10-02</t>
        </is>
      </c>
      <c r="N41" s="10" t="inlineStr">
        <is>
          <t>No responde</t>
        </is>
      </c>
      <c r="O41" s="10" t="inlineStr">
        <is>
          <t>Rastreo propio (no la propuso la IA)</t>
        </is>
      </c>
      <c r="P41" s="10" t="inlineStr">
        <is>
          <t>Mismo bloqueo que F36: 403 con desafío de Cloudflare. Daría población registrada en medicina general por borough, un proxy de dónde vive la gente que no siempre coincide con el censo.</t>
        </is>
      </c>
    </row>
    <row r="42">
      <c r="A42" s="10" t="inlineStr">
        <is>
          <t>F38</t>
        </is>
      </c>
      <c r="B42" s="10" t="inlineStr">
        <is>
          <t>GDELT 2.0 Doc API · menciones de prensa sobre «London»</t>
        </is>
      </c>
      <c r="C42" s="10" t="inlineStr">
        <is>
          <t>The GDELT Project</t>
        </is>
      </c>
      <c r="D42" s="10" t="inlineStr">
        <is>
          <t>Academia u ONG</t>
        </is>
      </c>
      <c r="E42" s="10" t="inlineStr">
        <is>
          <t>https://api.gdeltproject.org/api/v2/doc/doc?query=London%20sourcecountry:UK&amp;mode=artlist&amp;format=json&amp;maxrecords=1</t>
        </is>
      </c>
      <c r="F42" s="10" t="inlineStr">
        <is>
          <t>JSON</t>
        </is>
      </c>
      <c r="G42" s="10" t="inlineStr">
        <is>
          <t>API sin llave</t>
        </is>
      </c>
      <c r="H42" s="10" t="inlineStr">
        <is>
          <t>terminos-del-servicio</t>
        </is>
      </c>
      <c r="I42" s="10" t="inlineStr">
        <is>
          <t>los artículos pueden nombrar personas; no se guardan textos</t>
        </is>
      </c>
      <c r="J42" s="10" t="inlineStr">
        <is>
          <t>mundial, filtrado por país de origen (UK)</t>
        </is>
      </c>
      <c r="K42" s="10" t="inlineStr">
        <is>
          <t>ventana móvil</t>
        </is>
      </c>
      <c r="L42" s="10" t="inlineStr">
        <is>
          <t>Diaria</t>
        </is>
      </c>
      <c r="M42" s="10" t="inlineStr">
        <is>
          <t>2026-10-02</t>
        </is>
      </c>
      <c r="N42" s="10" t="inlineStr">
        <is>
          <t>Candidata</t>
        </is>
      </c>
      <c r="O42" s="10" t="inlineStr">
        <is>
          <t>Rastreo propio (no la propuso la IA)</t>
        </is>
      </c>
      <c r="P42" s="10" t="inlineStr">
        <is>
          <t>Corrección: en el catálogo que heredamos esta fuente tenía «GLA» como entidad, un error — GDELT es un proyecto independiente, sin relación con la Greater London Authority. Límite real: 1 petición cada 5 segundos, con 429 frecuente (me pasó dos veces hoy antes de responder). No integrada porque «London» como término trae cobertura mundial que no distingue boroughs: haría falta trabajo extra de filtrado de términos.</t>
        </is>
      </c>
    </row>
    <row r="43">
      <c r="A43" s="10" t="inlineStr">
        <is>
          <t>F39</t>
        </is>
      </c>
      <c r="B43" s="10" t="inlineStr">
        <is>
          <t>Mastodon · etiqueta #london (instancia mastodon.social)</t>
        </is>
      </c>
      <c r="C43" s="10" t="inlineStr">
        <is>
          <t>Mastodon gGmbH / mastodon.social</t>
        </is>
      </c>
      <c r="D43" s="10" t="inlineStr">
        <is>
          <t>Plataforma colaborativa</t>
        </is>
      </c>
      <c r="E43" s="10" t="inlineStr">
        <is>
          <t>https://mastodon.social/api/v1/timelines/tag/london?limit=3</t>
        </is>
      </c>
      <c r="F43" s="10" t="inlineStr">
        <is>
          <t>JSON</t>
        </is>
      </c>
      <c r="G43" s="10" t="inlineStr">
        <is>
          <t>API sin llave</t>
        </is>
      </c>
      <c r="H43" s="10" t="inlineStr">
        <is>
          <t>sin confirmar (no la vimos escrita en la página)</t>
        </is>
      </c>
      <c r="I43" s="10" t="inlineStr">
        <is>
          <t>sí: publicaciones de personas con su usuario</t>
        </is>
      </c>
      <c r="J43" s="10" t="inlineStr">
        <is>
          <t>una instancia (mastodon.social) entre miles del protocolo</t>
        </is>
      </c>
      <c r="K43" s="10" t="inlineStr">
        <is>
          <t>últimas publicaciones</t>
        </is>
      </c>
      <c r="L43" s="10" t="inlineStr">
        <is>
          <t>Diaria</t>
        </is>
      </c>
      <c r="M43" s="10" t="inlineStr">
        <is>
          <t>2026-10-02</t>
        </is>
      </c>
      <c r="N43" s="10" t="inlineStr">
        <is>
          <t>Candidata</t>
        </is>
      </c>
      <c r="O43" s="10" t="inlineStr">
        <is>
          <t>Rastreo propio (no la propuso la IA)</t>
        </is>
      </c>
      <c r="P43" s="10" t="inlineStr">
        <is>
          <t>Entraría solo como conteo de publicaciones por mes, nunca el texto ni los usuarios: misma decisión de privacidad que con Google News (F21).</t>
        </is>
      </c>
    </row>
    <row r="44">
      <c r="A44" s="10" t="inlineStr">
        <is>
          <t>F40</t>
        </is>
      </c>
      <c r="B44" s="10" t="inlineStr">
        <is>
          <t>Planning Data · listed buildings (edificios protegidos de Westminster)</t>
        </is>
      </c>
      <c r="C44" s="10" t="inlineStr">
        <is>
          <t>MHCLG (republica el listado de Historic England)</t>
        </is>
      </c>
      <c r="D44" s="10" t="inlineStr">
        <is>
          <t>Entidad pública</t>
        </is>
      </c>
      <c r="E44" s="10" t="inlineStr">
        <is>
          <t>https://www.planning.data.gov.uk/entity.json?dataset=listed-building&amp;geometry_curie=statistical-geography:E09000033&amp;geometry_relation=intersects&amp;limit=100</t>
        </is>
      </c>
      <c r="F44" s="10" t="inlineStr">
        <is>
          <t>GeoJSON/JSON</t>
        </is>
      </c>
      <c r="G44" s="10" t="inlineStr">
        <is>
          <t>API sin llave</t>
        </is>
      </c>
      <c r="H44" s="10" t="inlineStr">
        <is>
          <t>OGL-3.0</t>
        </is>
      </c>
      <c r="I44" s="10" t="inlineStr">
        <is>
          <t>No</t>
        </is>
      </c>
      <c r="J44" s="10" t="inlineStr">
        <is>
          <t>City of Westminster (geometría oficial, no bbox)</t>
        </is>
      </c>
      <c r="K44" s="10" t="inlineStr">
        <is>
          <t>continua (entry-date por entidad)</t>
        </is>
      </c>
      <c r="L44" s="10" t="inlineStr">
        <is>
          <t>No se sabe</t>
        </is>
      </c>
      <c r="M44" s="10" t="inlineStr">
        <is>
          <t>2026-10-02</t>
        </is>
      </c>
      <c r="N44" s="10" t="inlineStr">
        <is>
          <t>Integrada al lago</t>
        </is>
      </c>
      <c r="O44" s="10" t="inlineStr">
        <is>
          <t>Rastreo propio (no la propuso la IA)</t>
        </is>
      </c>
      <c r="P44" s="10" t="inlineStr">
        <is>
          <t>Mismo mecanismo y misma corrección que F27 (geometry_curie, no bbox). 4.017 edificios protegidos en Westminster: 3.418 grado II, 373 grado II*, 205 grado I. El lago guarda el conteo completo por grado y, como lista con nombre, solo los 205 de grado I (los de mayor importancia); los demás solo se cuentan, para no inflar el archivo con miles de puntos. Ya integrada: ingesta/pull_patrimonio.py, lago/patrimonio.json.</t>
        </is>
      </c>
    </row>
    <row r="45"/>
    <row r="46"/>
    <row r="47"/>
    <row r="48"/>
    <row r="49"/>
    <row r="50"/>
  </sheetData>
  <dataValidations count="6">
    <dataValidation sqref="D5:D44" showDropDown="0" showInputMessage="0" showErrorMessage="0" allowBlank="1" error="Elijan una opción de la lista" type="list">
      <formula1>"Entidad pública,Academia u ONG,Plataforma colaborativa,Empresa privada,Medio de comunicación,No se sabe"</formula1>
    </dataValidation>
    <dataValidation sqref="F5:F44" showDropDown="0" showInputMessage="0" showErrorMessage="0" allowBlank="1" error="Elijan una opción de la lista" type="list">
      <formula1>"CSV,JSON,XLSX,Parquet,GeoJSON,Shapefile,PDF,Página web,Otro"</formula1>
    </dataValidation>
    <dataValidation sqref="G5:G44" showDropDown="0" showInputMessage="0" showErrorMessage="0" allowBlank="1" error="Elijan una opción de la lista" type="list">
      <formula1>"API sin llave,API con llave gratuita,Descarga directa,Solo PDF o página,Bloquea scripts o pide sesión"</formula1>
    </dataValidation>
    <dataValidation sqref="I5:I44" showDropDown="0" showInputMessage="0" showErrorMessage="0" allowBlank="1" error="Elijan una opción de la lista" type="list">
      <formula1>"No,Solo conteos por zona,Personas identificables,Texto libre sin revisar"</formula1>
    </dataValidation>
    <dataValidation sqref="L5:L44" showDropDown="0" showInputMessage="0" showErrorMessage="0" allowBlank="1" error="Elijan una opción de la lista" type="list">
      <formula1>"Tiempo real,Diaria,Mensual,Trimestral,Anual,Única vez,No se sabe"</formula1>
    </dataValidation>
    <dataValidation sqref="N5:N44" showDropDown="0" showInputMessage="0" showErrorMessage="0" allowBlank="1" error="Elijan una opción de la lista" type="list">
      <formula1>"Integrada al lago,Candidata,No responde,No existe (la inventó la IA),Descartada"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min="1" max="1"/>
    <col width="20" customWidth="1" min="2" max="2"/>
    <col width="22" customWidth="1" min="3" max="3"/>
    <col width="20" customWidth="1" min="4" max="4"/>
    <col width="36" customWidth="1" min="5" max="5"/>
    <col width="12" customWidth="1" min="6" max="6"/>
    <col width="16" customWidth="1" min="7" max="7"/>
    <col width="14" customWidth="1" min="8" max="8"/>
    <col width="11" customWidth="1" min="9" max="9"/>
    <col width="22" customWidth="1" min="10" max="10"/>
    <col width="16" customWidth="1" min="11" max="11"/>
    <col width="28" customWidth="1" min="12" max="12"/>
    <col width="32" customWidth="1" min="13" max="13"/>
  </cols>
  <sheetData>
    <row r="1" ht="18" customHeight="1">
      <c r="A1" s="6" t="inlineStr">
        <is>
          <t>2. Diccionario de datos</t>
        </is>
      </c>
    </row>
    <row r="2">
      <c r="A2" s="7" t="inlineStr">
        <is>
          <t>Una fila por campo que quedó en el lago. Si un campo del lago no aparece aquí, no existe.</t>
        </is>
      </c>
    </row>
    <row r="3" ht="42" customHeight="1">
      <c r="A3" s="8" t="inlineStr">
        <is>
          <t>ID fuente</t>
        </is>
      </c>
      <c r="B3" s="8" t="inlineStr">
        <is>
          <t>Archivo o tabla en el lago</t>
        </is>
      </c>
      <c r="C3" s="8" t="inlineStr">
        <is>
          <t>Nombre del campo en el lago</t>
        </is>
      </c>
      <c r="D3" s="8" t="inlineStr">
        <is>
          <t>Nombre original en la fuente</t>
        </is>
      </c>
      <c r="E3" s="8" t="inlineStr">
        <is>
          <t>Qué significa (en una frase)</t>
        </is>
      </c>
      <c r="F3" s="8" t="inlineStr">
        <is>
          <t>Tipo de dato</t>
        </is>
      </c>
      <c r="G3" s="8" t="inlineStr">
        <is>
          <t>Unidad de medida</t>
        </is>
      </c>
      <c r="H3" s="8" t="inlineStr">
        <is>
          <t>Ejemplo de valor</t>
        </is>
      </c>
      <c r="I3" s="8" t="inlineStr">
        <is>
          <t>¿Puede venir vacío?</t>
        </is>
      </c>
      <c r="J3" s="8" t="inlineStr">
        <is>
          <t>Valores permitidos o rango</t>
        </is>
      </c>
      <c r="K3" s="8" t="inlineStr">
        <is>
          <t>Clasificación</t>
        </is>
      </c>
      <c r="L3" s="8" t="inlineStr">
        <is>
          <t>Transformación que le hicieron</t>
        </is>
      </c>
      <c r="M3" s="8" t="inlineStr">
        <is>
          <t>Pregunta del sistema que ayuda a responder</t>
        </is>
      </c>
    </row>
    <row r="4" ht="39" customHeight="1">
      <c r="A4" s="9" t="inlineStr">
        <is>
          <t>F01</t>
        </is>
      </c>
      <c r="B4" s="9" t="inlineStr">
        <is>
          <t>lago/escucha.json</t>
        </is>
      </c>
      <c r="C4" s="9" t="inlineStr">
        <is>
          <t>vistas_ultimo_mes</t>
        </is>
      </c>
      <c r="D4" s="9" t="inlineStr">
        <is>
          <t>views</t>
        </is>
      </c>
      <c r="E4" s="9" t="inlineStr">
        <is>
          <t>Vistas del artículo de la ciudad hechas por personas en el último mes completo</t>
        </is>
      </c>
      <c r="F4" s="9" t="inlineStr">
        <is>
          <t>Entero</t>
        </is>
      </c>
      <c r="G4" s="9" t="inlineStr">
        <is>
          <t>vistas de personas</t>
        </is>
      </c>
      <c r="H4" s="9" t="inlineStr">
        <is>
          <t>19552</t>
        </is>
      </c>
      <c r="I4" s="9" t="inlineStr">
        <is>
          <t>No</t>
        </is>
      </c>
      <c r="J4" s="9" t="inlineStr">
        <is>
          <t>≥ 0</t>
        </is>
      </c>
      <c r="K4" s="9" t="inlineStr">
        <is>
          <t>Pública</t>
        </is>
      </c>
      <c r="L4" s="9" t="inlineStr">
        <is>
          <t>Se toma el último mes de la serie; la fecha AAAAMMDD se pasa a AAAA-MM</t>
        </is>
      </c>
      <c r="M4" s="9" t="inlineStr">
        <is>
          <t>¿Cuánto interés despierta la ciudad fuera de ella y cómo cambia en el año?</t>
        </is>
      </c>
    </row>
    <row r="5">
      <c r="A5" s="10" t="inlineStr">
        <is>
          <t>F01</t>
        </is>
      </c>
      <c r="B5" s="10" t="inlineStr">
        <is>
          <t>lago/escucha.json</t>
        </is>
      </c>
      <c r="C5" s="10" t="inlineStr">
        <is>
          <t>vistas_ultimo_mes</t>
        </is>
      </c>
      <c r="D5" s="10" t="inlineStr">
        <is>
          <t>views</t>
        </is>
      </c>
      <c r="E5" s="10" t="inlineStr">
        <is>
          <t>Vistas del artículo «City of Westminster» hechas por personas en el último mes completo</t>
        </is>
      </c>
      <c r="F5" s="10" t="inlineStr">
        <is>
          <t>Entero</t>
        </is>
      </c>
      <c r="G5" s="10" t="inlineStr">
        <is>
          <t>vistas de personas</t>
        </is>
      </c>
      <c r="H5" s="10" t="inlineStr">
        <is>
          <t>18637</t>
        </is>
      </c>
      <c r="I5" s="10" t="inlineStr">
        <is>
          <t>No</t>
        </is>
      </c>
      <c r="J5" s="10" t="inlineStr">
        <is>
          <t>≥ 0</t>
        </is>
      </c>
      <c r="K5" s="10" t="inlineStr">
        <is>
          <t>Pública</t>
        </is>
      </c>
      <c r="L5" s="10" t="inlineStr">
        <is>
          <t>Se toma el último punto de la serie wiki_westminster tal cual lo entrega la API; sin cálculo adicional.</t>
        </is>
      </c>
      <c r="M5" s="10" t="inlineStr">
        <is>
          <t>¿Cuánto interés despierta Westminster fuera del borough, y cómo cambia en el año?</t>
        </is>
      </c>
    </row>
    <row r="6">
      <c r="A6" s="10" t="inlineStr">
        <is>
          <t>F01</t>
        </is>
      </c>
      <c r="B6" s="10" t="inlineStr">
        <is>
          <t>lago/escucha.json</t>
        </is>
      </c>
      <c r="C6" s="10" t="inlineStr">
        <is>
          <t>vistas_pico_mes</t>
        </is>
      </c>
      <c r="D6" s="10" t="inlineStr">
        <is>
          <t>views</t>
        </is>
      </c>
      <c r="E6" s="10" t="inlineStr">
        <is>
          <t>Mes de mayor atención dentro de la ventana 2025-01 a 2026-08</t>
        </is>
      </c>
      <c r="F6" s="10" t="inlineStr">
        <is>
          <t>Entero</t>
        </is>
      </c>
      <c r="G6" s="10" t="inlineStr">
        <is>
          <t>vistas de personas</t>
        </is>
      </c>
      <c r="H6" s="10" t="inlineStr">
        <is>
          <t>22234</t>
        </is>
      </c>
      <c r="I6" s="10" t="inlineStr">
        <is>
          <t>No</t>
        </is>
      </c>
      <c r="J6" s="10" t="inlineStr">
        <is>
          <t>≥ 0</t>
        </is>
      </c>
      <c r="K6" s="10" t="inlineStr">
        <is>
          <t>Pública</t>
        </is>
      </c>
      <c r="L6" s="10" t="inlineStr">
        <is>
          <t>max() sobre los 20 puntos mensuales de la serie del foco.</t>
        </is>
      </c>
      <c r="M6" s="10" t="inlineStr">
        <is>
          <t>¿Cuánto interés despierta Westminster fuera del borough, y cómo cambia en el año?</t>
        </is>
      </c>
    </row>
    <row r="7">
      <c r="A7" s="10" t="inlineStr">
        <is>
          <t>F01</t>
        </is>
      </c>
      <c r="B7" s="10" t="inlineStr">
        <is>
          <t>lago/escucha.json</t>
        </is>
      </c>
      <c r="C7" s="10" t="inlineStr">
        <is>
          <t>puesto_entre_boroughs</t>
        </is>
      </c>
      <c r="D7" s="10" t="inlineStr">
        <is>
          <t>(no viene de la API; se calcula)</t>
        </is>
      </c>
      <c r="E7" s="10" t="inlineStr">
        <is>
          <t>Posición de Westminster frente a Camden, Kensington and Chelsea y Southwark, por vistas del último mes</t>
        </is>
      </c>
      <c r="F7" s="10" t="inlineStr">
        <is>
          <t>Entero</t>
        </is>
      </c>
      <c r="G7" s="10" t="inlineStr">
        <is>
          <t>puesto de 4</t>
        </is>
      </c>
      <c r="H7" s="10" t="inlineStr">
        <is>
          <t>1</t>
        </is>
      </c>
      <c r="I7" s="10" t="inlineStr">
        <is>
          <t>No</t>
        </is>
      </c>
      <c r="J7" s="10" t="inlineStr">
        <is>
          <t>1 a 4</t>
        </is>
      </c>
      <c r="K7" s="10" t="inlineStr">
        <is>
          <t>Pública</t>
        </is>
      </c>
      <c r="L7" s="10" t="inlineStr">
        <is>
          <t>Se ordenan las 4 series de comparación por su último punto; se toma el índice de Westminster en ese orden.</t>
        </is>
      </c>
      <c r="M7" s="10" t="inlineStr">
        <is>
          <t>¿Cómo se compara Westminster con los otros 32 boroughs?</t>
        </is>
      </c>
    </row>
    <row r="8">
      <c r="A8" s="10" t="inlineStr">
        <is>
          <t>F02</t>
        </is>
      </c>
      <c r="B8" s="10" t="inlineStr">
        <is>
          <t>lago/demografia.json</t>
        </is>
      </c>
      <c r="C8" s="10" t="inlineStr">
        <is>
          <t>poblacion_westminster</t>
        </is>
      </c>
      <c r="D8" s="10" t="inlineStr">
        <is>
          <t>OBS_VALUE</t>
        </is>
      </c>
      <c r="E8" s="10" t="inlineStr">
        <is>
          <t>Estimación de población de mitad de año (mid-year) para City of Westminster</t>
        </is>
      </c>
      <c r="F8" s="10" t="inlineStr">
        <is>
          <t>Entero</t>
        </is>
      </c>
      <c r="G8" s="10" t="inlineStr">
        <is>
          <t>personas</t>
        </is>
      </c>
      <c r="H8" s="10" t="inlineStr">
        <is>
          <t>212367</t>
        </is>
      </c>
      <c r="I8" s="10" t="inlineStr">
        <is>
          <t>No</t>
        </is>
      </c>
      <c r="J8" s="10" t="inlineStr">
        <is>
          <t>≥ 0</t>
        </is>
      </c>
      <c r="K8" s="10" t="inlineStr">
        <is>
          <t>Pública</t>
        </is>
      </c>
      <c r="L8" s="10" t="inlineStr">
        <is>
          <t>Se filtra la respuesta de Nomis por código GSS E09000033, nunca por el nombre del borough.</t>
        </is>
      </c>
      <c r="M8" s="10" t="inlineStr">
        <is>
          <t>¿Cuánta gente vive en Westminster y cómo se compara con el resto de Londres?</t>
        </is>
      </c>
    </row>
    <row r="9">
      <c r="A9" s="10" t="inlineStr">
        <is>
          <t>F02</t>
        </is>
      </c>
      <c r="B9" s="10" t="inlineStr">
        <is>
          <t>lago/demografia.json</t>
        </is>
      </c>
      <c r="C9" s="10" t="inlineStr">
        <is>
          <t>poblacion_greater_london</t>
        </is>
      </c>
      <c r="D9" s="10" t="inlineStr">
        <is>
          <t>OBS_VALUE (sumado)</t>
        </is>
      </c>
      <c r="E9" s="10" t="inlineStr">
        <is>
          <t>Suma de la población de los 33 boroughs de Greater London</t>
        </is>
      </c>
      <c r="F9" s="10" t="inlineStr">
        <is>
          <t>Entero</t>
        </is>
      </c>
      <c r="G9" s="10" t="inlineStr">
        <is>
          <t>personas</t>
        </is>
      </c>
      <c r="H9" s="10" t="inlineStr">
        <is>
          <t>9122909</t>
        </is>
      </c>
      <c r="I9" s="10" t="inlineStr">
        <is>
          <t>No</t>
        </is>
      </c>
      <c r="J9" s="10" t="inlineStr">
        <is>
          <t>≥ 0</t>
        </is>
      </c>
      <c r="K9" s="10" t="inlineStr">
        <is>
          <t>Pública</t>
        </is>
      </c>
      <c r="L9" s="10" t="inlineStr">
        <is>
          <t>sum() sobre los 33 valores obs_value de los boroughs cuyo código empieza por E09.</t>
        </is>
      </c>
      <c r="M9" s="10" t="inlineStr">
        <is>
          <t>¿Cuánta gente vive en Westminster y cómo se compara con el resto de Londres?</t>
        </is>
      </c>
    </row>
    <row r="10">
      <c r="A10" s="10" t="inlineStr">
        <is>
          <t>F03</t>
        </is>
      </c>
      <c r="B10" s="10" t="inlineStr">
        <is>
          <t>lago/turismo.json</t>
        </is>
      </c>
      <c r="C10" s="10" t="inlineStr">
        <is>
          <t>alojamientos_n</t>
        </is>
      </c>
      <c r="D10" s="10" t="inlineStr">
        <is>
          <t>tourism=hotel|hostel|guest_house|apartment (etiqueta OSM)</t>
        </is>
      </c>
      <c r="E10" s="10" t="inlineStr">
        <is>
          <t>Hoteles, hostales, casas de huéspedes y apartamentos turísticos mapeados en Westminster</t>
        </is>
      </c>
      <c r="F10" s="10" t="inlineStr">
        <is>
          <t>Entero</t>
        </is>
      </c>
      <c r="G10" s="10" t="inlineStr">
        <is>
          <t>establecimientos</t>
        </is>
      </c>
      <c r="H10" s="10" t="inlineStr">
        <is>
          <t>521</t>
        </is>
      </c>
      <c r="I10" s="10" t="inlineStr">
        <is>
          <t>No</t>
        </is>
      </c>
      <c r="J10" s="10" t="inlineStr">
        <is>
          <t>≥ 0</t>
        </is>
      </c>
      <c r="K10" s="10" t="inlineStr">
        <is>
          <t>Pública</t>
        </is>
      </c>
      <c r="L10" s="10" t="inlineStr">
        <is>
          <t>Se cuentan los puntos OSM con esas 4 etiquetas dentro del polígono de Westminster</t>
        </is>
      </c>
      <c r="M10" s="10" t="inlineStr">
        <is>
          <t>¿Qué oferta turística y de alojamiento tiene Westminster?</t>
        </is>
      </c>
    </row>
    <row r="11">
      <c r="A11" s="10" t="inlineStr">
        <is>
          <t>F03</t>
        </is>
      </c>
      <c r="B11" s="10" t="inlineStr">
        <is>
          <t>lago/turismo.json</t>
        </is>
      </c>
      <c r="C11" s="10" t="inlineStr">
        <is>
          <t>habitaciones_declaradas</t>
        </is>
      </c>
      <c r="D11" s="10" t="inlineStr">
        <is>
          <t>rooms (etiqueta OSM)</t>
        </is>
      </c>
      <c r="E11" s="10" t="inlineStr">
        <is>
          <t>Suma de habitaciones de los alojamientos que sí declaran esa etiqueta</t>
        </is>
      </c>
      <c r="F11" s="10" t="inlineStr">
        <is>
          <t>Entero</t>
        </is>
      </c>
      <c r="G11" s="10" t="inlineStr">
        <is>
          <t>habitaciones</t>
        </is>
      </c>
      <c r="H11" s="10" t="inlineStr">
        <is>
          <t>20108</t>
        </is>
      </c>
      <c r="I11" s="10" t="inlineStr">
        <is>
          <t>No</t>
        </is>
      </c>
      <c r="J11" s="10" t="inlineStr">
        <is>
          <t>≥ 0; es cota INFERIOR</t>
        </is>
      </c>
      <c r="K11" s="10" t="inlineStr">
        <is>
          <t>Pública</t>
        </is>
      </c>
      <c r="L11" s="10" t="inlineStr">
        <is>
          <t>Solo 233 de 521 alojamientos declaran rooms en OSM: el resto no suma, así que el número real es más alto</t>
        </is>
      </c>
      <c r="M11" s="10" t="inlineStr">
        <is>
          <t>¿Qué oferta turística y de alojamiento tiene Westminster?</t>
        </is>
      </c>
    </row>
    <row r="12">
      <c r="A12" s="10" t="inlineStr">
        <is>
          <t>F04</t>
        </is>
      </c>
      <c r="B12" s="10" t="inlineStr">
        <is>
          <t>lago/seguridad.json</t>
        </is>
      </c>
      <c r="C12" s="10" t="inlineStr">
        <is>
          <t>delitos_12m</t>
        </is>
      </c>
      <c r="D12" s="10" t="inlineStr">
        <is>
          <t>category (un registro por delito)</t>
        </is>
      </c>
      <c r="E12" s="10" t="inlineStr">
        <is>
          <t>Delitos registrados en Westminster, suma de los meses descargados (hasta 12 pedidos; puede haber menos por caídas puntuales de la API)</t>
        </is>
      </c>
      <c r="F12" s="10" t="inlineStr">
        <is>
          <t>Entero</t>
        </is>
      </c>
      <c r="G12" s="10" t="inlineStr">
        <is>
          <t>delitos registrados</t>
        </is>
      </c>
      <c r="H12" s="10" t="inlineStr">
        <is>
          <t>90008 (ejemplo de una corrida con 11 de 12 meses)</t>
        </is>
      </c>
      <c r="I12" s="10" t="inlineStr">
        <is>
          <t>No</t>
        </is>
      </c>
      <c r="J12" s="10" t="inlineStr">
        <is>
          <t>≥ 0</t>
        </is>
      </c>
      <c r="K12" s="10" t="inlineStr">
        <is>
          <t>Pública</t>
        </is>
      </c>
      <c r="L12" s="10" t="inlineStr">
        <is>
          <t>Suma del conteo por categoría de los meses que sí respondieron (hasta 12, nunca más)</t>
        </is>
      </c>
      <c r="M12" s="10" t="inlineStr">
        <is>
          <t>¿Qué tan seguro es Westminster y cómo se compara con los otros 32 boroughs?</t>
        </is>
      </c>
    </row>
    <row r="13">
      <c r="A13" s="10" t="inlineStr">
        <is>
          <t>F04</t>
        </is>
      </c>
      <c r="B13" s="10" t="inlineStr">
        <is>
          <t>lago/seguridad.json</t>
        </is>
      </c>
      <c r="C13" s="10" t="inlineStr">
        <is>
          <t>categoria_mas_frecuente</t>
        </is>
      </c>
      <c r="D13" s="10" t="inlineStr">
        <is>
          <t>category</t>
        </is>
      </c>
      <c r="E13" s="10" t="inlineStr">
        <is>
          <t>La categoría de delito con más casos en Westminster</t>
        </is>
      </c>
      <c r="F13" s="10" t="inlineStr">
        <is>
          <t>Texto</t>
        </is>
      </c>
      <c r="G13" s="10" t="inlineStr">
        <is>
          <t>categoría</t>
        </is>
      </c>
      <c r="H13" s="10" t="inlineStr">
        <is>
          <t>theft-from-the-person</t>
        </is>
      </c>
      <c r="I13" s="10" t="inlineStr">
        <is>
          <t>No</t>
        </is>
      </c>
      <c r="J13" s="10" t="inlineStr">
        <is>
          <t>una de las categorías de data.police.uk</t>
        </is>
      </c>
      <c r="K13" s="10" t="inlineStr">
        <is>
          <t>Pública</t>
        </is>
      </c>
      <c r="L13" s="10" t="inlineStr">
        <is>
          <t>max() sobre el conteo por categoría</t>
        </is>
      </c>
      <c r="M13" s="10" t="inlineStr">
        <is>
          <t>¿Qué tan seguro es Westminster y cómo se compara con los otros 32 boroughs?</t>
        </is>
      </c>
    </row>
    <row r="14">
      <c r="A14" s="10" t="inlineStr">
        <is>
          <t>F05</t>
        </is>
      </c>
      <c r="B14" s="10" t="inlineStr">
        <is>
          <t>lago/economia.json</t>
        </is>
      </c>
      <c r="C14" s="10" t="inlineStr">
        <is>
          <t>precio_medio_westminster</t>
        </is>
      </c>
      <c r="D14" s="10" t="inlineStr">
        <is>
          <t>averagePrice (UK HPI, linked data)</t>
        </is>
      </c>
      <c r="E14" s="10" t="inlineStr">
        <is>
          <t>Precio medio de una vivienda en Westminster, último mes publicado</t>
        </is>
      </c>
      <c r="F14" s="10" t="inlineStr">
        <is>
          <t>Entero</t>
        </is>
      </c>
      <c r="G14" s="10" t="inlineStr">
        <is>
          <t>£ por vivienda</t>
        </is>
      </c>
      <c r="H14" s="10" t="inlineStr">
        <is>
          <t>876788</t>
        </is>
      </c>
      <c r="I14" s="10" t="inlineStr">
        <is>
          <t>No</t>
        </is>
      </c>
      <c r="J14" s="10" t="inlineStr">
        <is>
          <t>≥ 0</t>
        </is>
      </c>
      <c r="K14" s="10" t="inlineStr">
        <is>
          <t>Pública</t>
        </is>
      </c>
      <c r="L14" s="10" t="inlineStr">
        <is>
          <t>Último punto de la serie mensual del UK HPI para city-of-westminster</t>
        </is>
      </c>
      <c r="M14" s="10" t="inlineStr">
        <is>
          <t>¿Qué tan caro es vivir en Westminster frente a Londres e Inglaterra?</t>
        </is>
      </c>
    </row>
    <row r="15">
      <c r="A15" s="10" t="inlineStr">
        <is>
          <t>F05</t>
        </is>
      </c>
      <c r="B15" s="10" t="inlineStr">
        <is>
          <t>lago/economia.json</t>
        </is>
      </c>
      <c r="C15" s="10" t="inlineStr">
        <is>
          <t>veces_la_media_de_londres</t>
        </is>
      </c>
      <c r="D15" s="10" t="inlineStr">
        <is>
          <t>(no viene de la API; se calcula)</t>
        </is>
      </c>
      <c r="E15" s="10" t="inlineStr">
        <is>
          <t>Cuántas veces la media de Greater London cuesta una vivienda en Westminster</t>
        </is>
      </c>
      <c r="F15" s="10" t="inlineStr">
        <is>
          <t>Decimal</t>
        </is>
      </c>
      <c r="G15" s="10" t="inlineStr">
        <is>
          <t>veces</t>
        </is>
      </c>
      <c r="H15" s="10" t="inlineStr">
        <is>
          <t>1.59</t>
        </is>
      </c>
      <c r="I15" s="10" t="inlineStr">
        <is>
          <t>No</t>
        </is>
      </c>
      <c r="J15" s="10" t="inlineStr">
        <is>
          <t>&gt; 0</t>
        </is>
      </c>
      <c r="K15" s="10" t="inlineStr">
        <is>
          <t>Pública</t>
        </is>
      </c>
      <c r="L15" s="10" t="inlineStr">
        <is>
          <t>precio_medio_westminster / precio_medio_londres</t>
        </is>
      </c>
      <c r="M15" s="10" t="inlineStr">
        <is>
          <t>¿Qué tan caro es vivir en Westminster frente a Londres e Inglaterra?</t>
        </is>
      </c>
    </row>
    <row r="16">
      <c r="A16" s="10" t="inlineStr">
        <is>
          <t>F06</t>
        </is>
      </c>
      <c r="B16" s="10" t="inlineStr">
        <is>
          <t>lago/sensores.json</t>
        </is>
      </c>
      <c r="C16" s="10" t="inlineStr">
        <is>
          <t>temperatura_actual</t>
        </is>
      </c>
      <c r="D16" s="10" t="inlineStr">
        <is>
          <t>temperature_2m (Open-Meteo, modelo)</t>
        </is>
      </c>
      <c r="E16" s="10" t="inlineStr">
        <is>
          <t>Temperatura del aire a 2 m sobre el centroide de Westminster, ahora</t>
        </is>
      </c>
      <c r="F16" s="10" t="inlineStr">
        <is>
          <t>Decimal</t>
        </is>
      </c>
      <c r="G16" s="10" t="inlineStr">
        <is>
          <t>°C</t>
        </is>
      </c>
      <c r="H16" s="10" t="inlineStr">
        <is>
          <t>22.3</t>
        </is>
      </c>
      <c r="I16" s="10" t="inlineStr">
        <is>
          <t>No</t>
        </is>
      </c>
      <c r="J16" s="10" t="inlineStr">
        <is>
          <t>rango razonable para Londres</t>
        </is>
      </c>
      <c r="K16" s="10" t="inlineStr">
        <is>
          <t>Pública</t>
        </is>
      </c>
      <c r="L16" s="10" t="inlineStr">
        <is>
          <t>Valor «current» de la API, sin transformar</t>
        </is>
      </c>
      <c r="M16" s="10" t="inlineStr">
        <is>
          <t>¿Cómo está el clima y el aire de Westminster, medido y modelado?</t>
        </is>
      </c>
    </row>
    <row r="17">
      <c r="A17" s="10" t="inlineStr">
        <is>
          <t>F10</t>
        </is>
      </c>
      <c r="B17" s="10" t="inlineStr">
        <is>
          <t>lago/sensores.json</t>
        </is>
      </c>
      <c r="C17" s="10" t="inlineStr">
        <is>
          <t>pm25_actual</t>
        </is>
      </c>
      <c r="D17" s="10" t="inlineStr">
        <is>
          <t>pm2_5 (Open-Meteo Air Quality, modelo CAMS)</t>
        </is>
      </c>
      <c r="E17" s="10" t="inlineStr">
        <is>
          <t>Partículas finas PM2.5 sobre el centroide de Westminster, modeladas</t>
        </is>
      </c>
      <c r="F17" s="10" t="inlineStr">
        <is>
          <t>Decimal</t>
        </is>
      </c>
      <c r="G17" s="10" t="inlineStr">
        <is>
          <t>µg/m³</t>
        </is>
      </c>
      <c r="H17" s="10" t="inlineStr">
        <is>
          <t>7.6</t>
        </is>
      </c>
      <c r="I17" s="10" t="inlineStr">
        <is>
          <t>No</t>
        </is>
      </c>
      <c r="J17" s="10" t="inlineStr">
        <is>
          <t>≥ 0</t>
        </is>
      </c>
      <c r="K17" s="10" t="inlineStr">
        <is>
          <t>Pública</t>
        </is>
      </c>
      <c r="L17" s="10" t="inlineStr">
        <is>
          <t>Valor «current» del modelo CAMS, sin transformar</t>
        </is>
      </c>
      <c r="M17" s="10" t="inlineStr">
        <is>
          <t>¿Cómo está el clima y el aire de Westminster, medido y modelado?</t>
        </is>
      </c>
    </row>
    <row r="18">
      <c r="A18" s="10" t="inlineStr">
        <is>
          <t>F07</t>
        </is>
      </c>
      <c r="B18" s="10" t="inlineStr">
        <is>
          <t>lago/geo.json</t>
        </is>
      </c>
      <c r="C18" s="10" t="inlineStr">
        <is>
          <t>boroughs_n</t>
        </is>
      </c>
      <c r="D18" s="10" t="inlineStr">
        <is>
          <t>(conteo de features LAD25CD)</t>
        </is>
      </c>
      <c r="E18" s="10" t="inlineStr">
        <is>
          <t>Número de boroughs de Greater London con límite oficial en el lago</t>
        </is>
      </c>
      <c r="F18" s="10" t="inlineStr">
        <is>
          <t>Entero</t>
        </is>
      </c>
      <c r="G18" s="10" t="inlineStr">
        <is>
          <t>boroughs</t>
        </is>
      </c>
      <c r="H18" s="10" t="inlineStr">
        <is>
          <t>33</t>
        </is>
      </c>
      <c r="I18" s="10" t="inlineStr">
        <is>
          <t>No</t>
        </is>
      </c>
      <c r="J18" s="10">
        <f> 33</f>
        <v/>
      </c>
      <c r="K18" s="10" t="inlineStr">
        <is>
          <t>Pública</t>
        </is>
      </c>
      <c r="L18" s="10" t="inlineStr">
        <is>
          <t>len() sobre las features del GeoJSON de boroughs</t>
        </is>
      </c>
      <c r="M18" s="10" t="inlineStr">
        <is>
          <t>¿Cómo se compara Westminster con los otros 32 boroughs en lo esencial?</t>
        </is>
      </c>
    </row>
    <row r="19">
      <c r="A19" s="10" t="inlineStr">
        <is>
          <t>F07</t>
        </is>
      </c>
      <c r="B19" s="10" t="inlineStr">
        <is>
          <t>lago/geo.json</t>
        </is>
      </c>
      <c r="C19" s="10" t="inlineStr">
        <is>
          <t>wards_londres_n</t>
        </is>
      </c>
      <c r="D19" s="10" t="inlineStr">
        <is>
          <t>(conteo de features WD25CD)</t>
        </is>
      </c>
      <c r="E19" s="10" t="inlineStr">
        <is>
          <t>Número de wards dentro de los 33 boroughs, cosecha diciembre 2025</t>
        </is>
      </c>
      <c r="F19" s="10" t="inlineStr">
        <is>
          <t>Entero</t>
        </is>
      </c>
      <c r="G19" s="10" t="inlineStr">
        <is>
          <t>wards</t>
        </is>
      </c>
      <c r="H19" s="10" t="inlineStr">
        <is>
          <t>704</t>
        </is>
      </c>
      <c r="I19" s="10" t="inlineStr">
        <is>
          <t>No</t>
        </is>
      </c>
      <c r="J19" s="10" t="inlineStr">
        <is>
          <t>≥ 0</t>
        </is>
      </c>
      <c r="K19" s="10" t="inlineStr">
        <is>
          <t>Pública</t>
        </is>
      </c>
      <c r="L19" s="10" t="inlineStr">
        <is>
          <t>len() sobre las features del GeoJSON de wards_londres</t>
        </is>
      </c>
      <c r="M19" s="10" t="inlineStr">
        <is>
          <t>Para un punto cualquiera de Westminster, ¿qué patrimonio protegido y qué riesgo de inundación tiene cerca?</t>
        </is>
      </c>
    </row>
    <row r="20">
      <c r="A20" s="10" t="inlineStr">
        <is>
          <t>F08</t>
        </is>
      </c>
      <c r="B20" s="10" t="inlineStr">
        <is>
          <t>lago/infraestructura.json</t>
        </is>
      </c>
      <c r="C20" s="10" t="inlineStr">
        <is>
          <t>estaciones_n</t>
        </is>
      </c>
      <c r="D20" s="10" t="inlineStr">
        <is>
          <t>railway=station / public_transport=station (etiqueta OSM)</t>
        </is>
      </c>
      <c r="E20" s="10" t="inlineStr">
        <is>
          <t>Estaciones de metro y tren con nombre dentro de Westminster</t>
        </is>
      </c>
      <c r="F20" s="10" t="inlineStr">
        <is>
          <t>Entero</t>
        </is>
      </c>
      <c r="G20" s="10" t="inlineStr">
        <is>
          <t>estaciones</t>
        </is>
      </c>
      <c r="H20" s="10" t="inlineStr">
        <is>
          <t>35</t>
        </is>
      </c>
      <c r="I20" s="10" t="inlineStr">
        <is>
          <t>No</t>
        </is>
      </c>
      <c r="J20" s="10" t="inlineStr">
        <is>
          <t>≥ 0</t>
        </is>
      </c>
      <c r="K20" s="10" t="inlineStr">
        <is>
          <t>Pública</t>
        </is>
      </c>
      <c r="L20" s="10" t="inlineStr">
        <is>
          <t>Conteo de puntos OSM con esas etiquetas</t>
        </is>
      </c>
      <c r="M20" s="10" t="inlineStr">
        <is>
          <t>¿Qué infraestructura de transporte tiene Westminster y cómo se compara con los otros boroughs?</t>
        </is>
      </c>
    </row>
    <row r="21">
      <c r="A21" s="10" t="inlineStr">
        <is>
          <t>F08</t>
        </is>
      </c>
      <c r="B21" s="10" t="inlineStr">
        <is>
          <t>lago/infraestructura.json</t>
        </is>
      </c>
      <c r="C21" s="10" t="inlineStr">
        <is>
          <t>paradas_bus_n</t>
        </is>
      </c>
      <c r="D21" s="10" t="inlineStr">
        <is>
          <t>highway=bus_stop (etiqueta OSM)</t>
        </is>
      </c>
      <c r="E21" s="10" t="inlineStr">
        <is>
          <t>Paradas de autobús mapeadas en Westminster</t>
        </is>
      </c>
      <c r="F21" s="10" t="inlineStr">
        <is>
          <t>Entero</t>
        </is>
      </c>
      <c r="G21" s="10" t="inlineStr">
        <is>
          <t>paradas</t>
        </is>
      </c>
      <c r="H21" s="10" t="inlineStr">
        <is>
          <t>536</t>
        </is>
      </c>
      <c r="I21" s="10" t="inlineStr">
        <is>
          <t>No</t>
        </is>
      </c>
      <c r="J21" s="10" t="inlineStr">
        <is>
          <t>≥ 0</t>
        </is>
      </c>
      <c r="K21" s="10" t="inlineStr">
        <is>
          <t>Pública</t>
        </is>
      </c>
      <c r="L21" s="10" t="inlineStr">
        <is>
          <t>Conteo de puntos OSM con esa etiqueta</t>
        </is>
      </c>
      <c r="M21" s="10" t="inlineStr">
        <is>
          <t>¿Qué infraestructura de transporte tiene Westminster y cómo se compara con los otros boroughs?</t>
        </is>
      </c>
    </row>
    <row r="22">
      <c r="A22" s="10" t="inlineStr">
        <is>
          <t>F27</t>
        </is>
      </c>
      <c r="B22" s="10" t="inlineStr">
        <is>
          <t>lago/riesgo.json</t>
        </is>
      </c>
      <c r="C22" s="10" t="inlineStr">
        <is>
          <t>zonas_riesgo_n</t>
        </is>
      </c>
      <c r="D22" s="10" t="inlineStr">
        <is>
          <t>(conteo de entidades flood-risk-zone)</t>
        </is>
      </c>
      <c r="E22" s="10" t="inlineStr">
        <is>
          <t>Polígonos de riesgo de inundación que tocan el territorio de Westminster</t>
        </is>
      </c>
      <c r="F22" s="10" t="inlineStr">
        <is>
          <t>Entero</t>
        </is>
      </c>
      <c r="G22" s="10" t="inlineStr">
        <is>
          <t>zonas</t>
        </is>
      </c>
      <c r="H22" s="10" t="inlineStr">
        <is>
          <t>2</t>
        </is>
      </c>
      <c r="I22" s="10" t="inlineStr">
        <is>
          <t>No</t>
        </is>
      </c>
      <c r="J22" s="10" t="inlineStr">
        <is>
          <t>≥ 0</t>
        </is>
      </c>
      <c r="K22" s="10" t="inlineStr">
        <is>
          <t>Pública</t>
        </is>
      </c>
      <c r="L22" s="10" t="inlineStr">
        <is>
          <t>Consulta a Planning Data filtrada por geometry_curie de Westminster</t>
        </is>
      </c>
      <c r="M22" s="10" t="inlineStr">
        <is>
          <t>Para un punto cualquiera de Westminster, ¿qué patrimonio protegido y qué riesgo de inundación tiene cerca?</t>
        </is>
      </c>
    </row>
    <row r="23">
      <c r="A23" s="10" t="inlineStr">
        <is>
          <t>F27</t>
        </is>
      </c>
      <c r="B23" s="10" t="inlineStr">
        <is>
          <t>lago/riesgo.json</t>
        </is>
      </c>
      <c r="C23" s="10" t="inlineStr">
        <is>
          <t>nivel_maximo</t>
        </is>
      </c>
      <c r="D23" s="10" t="inlineStr">
        <is>
          <t>flood-risk-level</t>
        </is>
      </c>
      <c r="E23" s="10" t="inlineStr">
        <is>
          <t>El nivel de riesgo de inundación más alto que toca el borough</t>
        </is>
      </c>
      <c r="F23" s="10" t="inlineStr">
        <is>
          <t>Código</t>
        </is>
      </c>
      <c r="G23" s="10" t="inlineStr">
        <is>
          <t>nivel (1 bajo · 2 medio · 3 alto)</t>
        </is>
      </c>
      <c r="H23" s="10" t="inlineStr">
        <is>
          <t>3</t>
        </is>
      </c>
      <c r="I23" s="10" t="inlineStr">
        <is>
          <t>No</t>
        </is>
      </c>
      <c r="J23" s="10" t="inlineStr">
        <is>
          <t>1, 2 o 3</t>
        </is>
      </c>
      <c r="K23" s="10" t="inlineStr">
        <is>
          <t>Pública</t>
        </is>
      </c>
      <c r="L23" s="10" t="inlineStr">
        <is>
          <t>max() sobre el nivel de las zonas encontradas</t>
        </is>
      </c>
      <c r="M23" s="10" t="inlineStr">
        <is>
          <t>Para un punto cualquiera de Westminster, ¿qué patrimonio protegido y qué riesgo de inundación tiene cerca?</t>
        </is>
      </c>
    </row>
    <row r="24">
      <c r="A24" s="10" t="inlineStr">
        <is>
          <t>F40</t>
        </is>
      </c>
      <c r="B24" s="10" t="inlineStr">
        <is>
          <t>lago/patrimonio.json</t>
        </is>
      </c>
      <c r="C24" s="10" t="inlineStr">
        <is>
          <t>edificios_protegidos_n</t>
        </is>
      </c>
      <c r="D24" s="10" t="inlineStr">
        <is>
          <t>(conteo de entidades listed-building)</t>
        </is>
      </c>
      <c r="E24" s="10" t="inlineStr">
        <is>
          <t>Total de edificios con alguna protección patrimonial en Westminster</t>
        </is>
      </c>
      <c r="F24" s="10" t="inlineStr">
        <is>
          <t>Entero</t>
        </is>
      </c>
      <c r="G24" s="10" t="inlineStr">
        <is>
          <t>edificios</t>
        </is>
      </c>
      <c r="H24" s="10" t="inlineStr">
        <is>
          <t>4017</t>
        </is>
      </c>
      <c r="I24" s="10" t="inlineStr">
        <is>
          <t>No</t>
        </is>
      </c>
      <c r="J24" s="10" t="inlineStr">
        <is>
          <t>≥ 0</t>
        </is>
      </c>
      <c r="K24" s="10" t="inlineStr">
        <is>
          <t>Pública</t>
        </is>
      </c>
      <c r="L24" s="10" t="inlineStr">
        <is>
          <t>Paginación completa de Planning Data filtrada por Westminster</t>
        </is>
      </c>
      <c r="M24" s="10" t="inlineStr">
        <is>
          <t>Para un punto cualquiera de Westminster, ¿qué patrimonio protegido y qué riesgo de inundación tiene cerca?</t>
        </is>
      </c>
    </row>
    <row r="25">
      <c r="A25" s="10" t="inlineStr">
        <is>
          <t>F40</t>
        </is>
      </c>
      <c r="B25" s="10" t="inlineStr">
        <is>
          <t>lago/patrimonio.json</t>
        </is>
      </c>
      <c r="C25" s="10" t="inlineStr">
        <is>
          <t>grado_i_n</t>
        </is>
      </c>
      <c r="D25" s="10" t="inlineStr">
        <is>
          <t>listed-building-grade</t>
        </is>
      </c>
      <c r="E25" s="10" t="inlineStr">
        <is>
          <t>Edificios de grado I: la máxima protección patrimonial</t>
        </is>
      </c>
      <c r="F25" s="10" t="inlineStr">
        <is>
          <t>Entero</t>
        </is>
      </c>
      <c r="G25" s="10" t="inlineStr">
        <is>
          <t>edificios</t>
        </is>
      </c>
      <c r="H25" s="10" t="inlineStr">
        <is>
          <t>205</t>
        </is>
      </c>
      <c r="I25" s="10" t="inlineStr">
        <is>
          <t>No</t>
        </is>
      </c>
      <c r="J25" s="10" t="inlineStr">
        <is>
          <t>≥ 0</t>
        </is>
      </c>
      <c r="K25" s="10" t="inlineStr">
        <is>
          <t>Pública</t>
        </is>
      </c>
      <c r="L25" s="10" t="inlineStr">
        <is>
          <t>Conteo de entidades con listed-building-grade = I</t>
        </is>
      </c>
      <c r="M25" s="10" t="inlineStr">
        <is>
          <t>Para un punto cualquiera de Westminster, ¿qué patrimonio protegido y qué riesgo de inundación tiene cerca?</t>
        </is>
      </c>
    </row>
    <row r="26">
      <c r="A26" s="10" t="inlineStr">
        <is>
          <t>F17</t>
        </is>
      </c>
      <c r="B26" s="10" t="inlineStr">
        <is>
          <t>lago/seguridad_boroughs.json</t>
        </is>
      </c>
      <c r="C26" s="10" t="inlineStr">
        <is>
          <t>tasa_westminster</t>
        </is>
      </c>
      <c r="D26" s="10" t="inlineStr">
        <is>
          <t>(se calcula: delitos / población × 1000)</t>
        </is>
      </c>
      <c r="E26" s="10" t="inlineStr">
        <is>
          <t>Delitos por cada 1.000 habitantes en Westminster, últimos 12 meses</t>
        </is>
      </c>
      <c r="F26" s="10" t="inlineStr">
        <is>
          <t>Decimal</t>
        </is>
      </c>
      <c r="G26" s="10" t="inlineStr">
        <is>
          <t>delitos por 1.000 habitantes</t>
        </is>
      </c>
      <c r="H26" s="10" t="inlineStr">
        <is>
          <t>350.64</t>
        </is>
      </c>
      <c r="I26" s="10" t="inlineStr">
        <is>
          <t>No</t>
        </is>
      </c>
      <c r="J26" s="10" t="inlineStr">
        <is>
          <t>≥ 0</t>
        </is>
      </c>
      <c r="K26" s="10" t="inlineStr">
        <is>
          <t>Pública</t>
        </is>
      </c>
      <c r="L26" s="10" t="inlineStr">
        <is>
          <t>Cruce del CSV de delitos por borough con la población mid-year ya en demografia.json</t>
        </is>
      </c>
      <c r="M26" s="10" t="inlineStr">
        <is>
          <t>¿Qué tan seguro es Westminster y cómo se compara con los otros 32 boroughs?</t>
        </is>
      </c>
    </row>
    <row r="27">
      <c r="A27" s="10" t="inlineStr">
        <is>
          <t>F17</t>
        </is>
      </c>
      <c r="B27" s="10" t="inlineStr">
        <is>
          <t>lago/seguridad_boroughs.json</t>
        </is>
      </c>
      <c r="C27" s="10" t="inlineStr">
        <is>
          <t>puesto_tasa_westminster</t>
        </is>
      </c>
      <c r="D27" s="10" t="inlineStr">
        <is>
          <t>(se calcula: ranking)</t>
        </is>
      </c>
      <c r="E27" s="10" t="inlineStr">
        <is>
          <t>Posición de Westminster entre los 32 boroughs con dato, por tasa de delitos</t>
        </is>
      </c>
      <c r="F27" s="10" t="inlineStr">
        <is>
          <t>Entero</t>
        </is>
      </c>
      <c r="G27" s="10" t="inlineStr">
        <is>
          <t>puesto de 32</t>
        </is>
      </c>
      <c r="H27" s="10" t="inlineStr">
        <is>
          <t>1</t>
        </is>
      </c>
      <c r="I27" s="10" t="inlineStr">
        <is>
          <t>No</t>
        </is>
      </c>
      <c r="J27" s="10" t="inlineStr">
        <is>
          <t>1 a 32</t>
        </is>
      </c>
      <c r="K27" s="10" t="inlineStr">
        <is>
          <t>Pública</t>
        </is>
      </c>
      <c r="L27" s="10" t="inlineStr">
        <is>
          <t>Ordenar los 32 boroughs por tasa_x1000 descendente</t>
        </is>
      </c>
      <c r="M27" s="10" t="inlineStr">
        <is>
          <t>¿Qué tan seguro es Westminster y cómo se compara con los otros 32 boroughs?</t>
        </is>
      </c>
    </row>
    <row r="28">
      <c r="A28" s="10" t="inlineStr">
        <is>
          <t>F12</t>
        </is>
      </c>
      <c r="B28" s="10" t="inlineStr">
        <is>
          <t>lago/privacion.json</t>
        </is>
      </c>
      <c r="C28" s="10" t="inlineStr">
        <is>
          <t>score_medio_westminster</t>
        </is>
      </c>
      <c r="D28" s="10" t="inlineStr">
        <is>
          <t>Index of Multiple Deprivation (IMD) Score</t>
        </is>
      </c>
      <c r="E28" s="10" t="inlineStr">
        <is>
          <t>Promedio del puntaje de privación de los LSOA de Westminster</t>
        </is>
      </c>
      <c r="F28" s="10" t="inlineStr">
        <is>
          <t>Decimal</t>
        </is>
      </c>
      <c r="G28" s="10" t="inlineStr">
        <is>
          <t>puntaje IMD</t>
        </is>
      </c>
      <c r="H28" s="10" t="inlineStr">
        <is>
          <t>23.65</t>
        </is>
      </c>
      <c r="I28" s="10" t="inlineStr">
        <is>
          <t>No</t>
        </is>
      </c>
      <c r="J28" s="10" t="inlineStr">
        <is>
          <t>&gt; 0; más alto = más privado</t>
        </is>
      </c>
      <c r="K28" s="10" t="inlineStr">
        <is>
          <t>Pública</t>
        </is>
      </c>
      <c r="L28" s="10" t="inlineStr">
        <is>
          <t>Promedio simple de 123 LSOA de Westminster</t>
        </is>
      </c>
      <c r="M28" s="10" t="inlineStr">
        <is>
          <t>¿Qué tan privada o vulnerable es cada zona, y qué tan sana vive su gente?</t>
        </is>
      </c>
    </row>
    <row r="29">
      <c r="A29" s="10" t="inlineStr">
        <is>
          <t>F12</t>
        </is>
      </c>
      <c r="B29" s="10" t="inlineStr">
        <is>
          <t>lago/privacion.json</t>
        </is>
      </c>
      <c r="C29" s="10" t="inlineStr">
        <is>
          <t>puesto_privacion_westminster</t>
        </is>
      </c>
      <c r="D29" s="10" t="inlineStr">
        <is>
          <t>(se calcula: ranking)</t>
        </is>
      </c>
      <c r="E29" s="10" t="inlineStr">
        <is>
          <t>Posición de Westminster entre los 33 boroughs, por privación promedio</t>
        </is>
      </c>
      <c r="F29" s="10" t="inlineStr">
        <is>
          <t>Entero</t>
        </is>
      </c>
      <c r="G29" s="10" t="inlineStr">
        <is>
          <t>puesto de 33</t>
        </is>
      </c>
      <c r="H29" s="10" t="inlineStr">
        <is>
          <t>12</t>
        </is>
      </c>
      <c r="I29" s="10" t="inlineStr">
        <is>
          <t>No</t>
        </is>
      </c>
      <c r="J29" s="10" t="inlineStr">
        <is>
          <t>1 a 33</t>
        </is>
      </c>
      <c r="K29" s="10" t="inlineStr">
        <is>
          <t>Pública</t>
        </is>
      </c>
      <c r="L29" s="10" t="inlineStr">
        <is>
          <t>Ordenar los 33 boroughs por score_medio descendente</t>
        </is>
      </c>
      <c r="M29" s="10" t="inlineStr">
        <is>
          <t>¿Qué tan privada o vulnerable es cada zona, y qué tan sana vive su gente?</t>
        </is>
      </c>
    </row>
    <row r="30">
      <c r="A30" s="10" t="inlineStr">
        <is>
          <t>F25</t>
        </is>
      </c>
      <c r="B30" s="10" t="inlineStr">
        <is>
          <t>lago/salud.json</t>
        </is>
      </c>
      <c r="C30" s="10" t="inlineStr">
        <is>
          <t>esperanza_vida_westminster</t>
        </is>
      </c>
      <c r="D30" s="10" t="inlineStr">
        <is>
          <t>Value</t>
        </is>
      </c>
      <c r="E30" s="10" t="inlineStr">
        <is>
          <t>Esperanza de vida al nacer en Westminster, promedio de ambos sexos</t>
        </is>
      </c>
      <c r="F30" s="10" t="inlineStr">
        <is>
          <t>Decimal</t>
        </is>
      </c>
      <c r="G30" s="10" t="inlineStr">
        <is>
          <t>años</t>
        </is>
      </c>
      <c r="H30" s="10" t="inlineStr">
        <is>
          <t>84.5</t>
        </is>
      </c>
      <c r="I30" s="10" t="inlineStr">
        <is>
          <t>No</t>
        </is>
      </c>
      <c r="J30" s="10" t="inlineStr">
        <is>
          <t>&gt; 0</t>
        </is>
      </c>
      <c r="K30" s="10" t="inlineStr">
        <is>
          <t>Pública</t>
        </is>
      </c>
      <c r="L30" s="10" t="inlineStr">
        <is>
          <t>Promedio de Value (Male) y Value (Fingertips), periodo 2023-25</t>
        </is>
      </c>
      <c r="M30" s="10" t="inlineStr">
        <is>
          <t>¿Qué tan privada o vulnerable es cada zona, y qué tan sana vive su gente?</t>
        </is>
      </c>
    </row>
    <row r="31">
      <c r="A31" s="10" t="inlineStr">
        <is>
          <t>F25</t>
        </is>
      </c>
      <c r="B31" s="10" t="inlineStr">
        <is>
          <t>lago/salud.json</t>
        </is>
      </c>
      <c r="C31" s="10" t="inlineStr">
        <is>
          <t>puesto_esperanza_vida_westminster</t>
        </is>
      </c>
      <c r="D31" s="10" t="inlineStr">
        <is>
          <t>(se calcula: ranking)</t>
        </is>
      </c>
      <c r="E31" s="10" t="inlineStr">
        <is>
          <t>Posición de Westminster entre 32 boroughs, por esperanza de vida</t>
        </is>
      </c>
      <c r="F31" s="10" t="inlineStr">
        <is>
          <t>Entero</t>
        </is>
      </c>
      <c r="G31" s="10" t="inlineStr">
        <is>
          <t>puesto de 32</t>
        </is>
      </c>
      <c r="H31" s="10" t="inlineStr">
        <is>
          <t>3</t>
        </is>
      </c>
      <c r="I31" s="10" t="inlineStr">
        <is>
          <t>No</t>
        </is>
      </c>
      <c r="J31" s="10" t="inlineStr">
        <is>
          <t>1 a 32</t>
        </is>
      </c>
      <c r="K31" s="10" t="inlineStr">
        <is>
          <t>Pública</t>
        </is>
      </c>
      <c r="L31" s="10" t="inlineStr">
        <is>
          <t>Ordenar los 32 boroughs con dato por promedio descendente</t>
        </is>
      </c>
      <c r="M31" s="10" t="inlineStr">
        <is>
          <t>¿Qué tan privada o vulnerable es cada zona, y qué tan sana vive su gente?</t>
        </is>
      </c>
    </row>
    <row r="32">
      <c r="A32" s="10" t="inlineStr">
        <is>
          <t>F23</t>
        </is>
      </c>
      <c r="B32" s="10" t="inlineStr">
        <is>
          <t>lago/finanzas.json</t>
        </is>
      </c>
      <c r="C32" s="10" t="inlineStr">
        <is>
          <t>council_tax_westminster</t>
        </is>
      </c>
      <c r="D32" s="10" t="inlineStr">
        <is>
          <t>Average council tax for the authority (Banda D)£</t>
        </is>
      </c>
      <c r="E32" s="10" t="inlineStr">
        <is>
          <t>Council Tax Banda D que cobra Westminster, 2026-27</t>
        </is>
      </c>
      <c r="F32" s="10" t="inlineStr">
        <is>
          <t>Entero</t>
        </is>
      </c>
      <c r="G32" s="10" t="inlineStr">
        <is>
          <t>£ por vivienda Banda D</t>
        </is>
      </c>
      <c r="H32" s="10" t="inlineStr">
        <is>
          <t>539</t>
        </is>
      </c>
      <c r="I32" s="10" t="inlineStr">
        <is>
          <t>No</t>
        </is>
      </c>
      <c r="J32" s="10" t="inlineStr">
        <is>
          <t>&gt; 0</t>
        </is>
      </c>
      <c r="K32" s="10" t="inlineStr">
        <is>
          <t>Pública</t>
        </is>
      </c>
      <c r="L32" s="10" t="inlineStr">
        <is>
          <t>Columna del Table 8a del archivo .ods, incluye precepto social y parroquial</t>
        </is>
      </c>
      <c r="M32" s="10" t="inlineStr">
        <is>
          <t>¿Cómo se financia el municipio y cuánto paga un hogar típico?</t>
        </is>
      </c>
    </row>
    <row r="33">
      <c r="A33" s="10" t="inlineStr">
        <is>
          <t>F23</t>
        </is>
      </c>
      <c r="B33" s="10" t="inlineStr">
        <is>
          <t>lago/finanzas.json</t>
        </is>
      </c>
      <c r="C33" s="10" t="inlineStr">
        <is>
          <t>puesto_council_tax_westminster</t>
        </is>
      </c>
      <c r="D33" s="10" t="inlineStr">
        <is>
          <t>(se calcula: ranking)</t>
        </is>
      </c>
      <c r="E33" s="10" t="inlineStr">
        <is>
          <t>Posición de Westminster entre los 33 boroughs, por Council Tax</t>
        </is>
      </c>
      <c r="F33" s="10" t="inlineStr">
        <is>
          <t>Entero</t>
        </is>
      </c>
      <c r="G33" s="10" t="inlineStr">
        <is>
          <t>puesto de 33</t>
        </is>
      </c>
      <c r="H33" s="10" t="inlineStr">
        <is>
          <t>32</t>
        </is>
      </c>
      <c r="I33" s="10" t="inlineStr">
        <is>
          <t>No</t>
        </is>
      </c>
      <c r="J33" s="10" t="inlineStr">
        <is>
          <t>1 a 33</t>
        </is>
      </c>
      <c r="K33" s="10" t="inlineStr">
        <is>
          <t>Pública</t>
        </is>
      </c>
      <c r="L33" s="10" t="inlineStr">
        <is>
          <t>Ordenar los 33 boroughs por council_tax_banda_d descendente</t>
        </is>
      </c>
      <c r="M33" s="10" t="inlineStr">
        <is>
          <t>¿Cómo se financia el municipio y cuánto paga un hogar típico?</t>
        </is>
      </c>
    </row>
    <row r="34">
      <c r="A34" s="10" t="inlineStr">
        <is>
          <t>F28</t>
        </is>
      </c>
      <c r="B34" s="10" t="inlineStr">
        <is>
          <t>lago/transporte_boroughs.json</t>
        </is>
      </c>
      <c r="C34" s="10" t="inlineStr">
        <is>
          <t>paradas_westminster</t>
        </is>
      </c>
      <c r="D34" s="10" t="inlineStr">
        <is>
          <t>(conteo tras clasificar por punto en polígono)</t>
        </is>
      </c>
      <c r="E34" s="10" t="inlineStr">
        <is>
          <t>Paradas de transporte activas clasificadas dentro de Westminster</t>
        </is>
      </c>
      <c r="F34" s="10" t="inlineStr">
        <is>
          <t>Entero</t>
        </is>
      </c>
      <c r="G34" s="10" t="inlineStr">
        <is>
          <t>paradas</t>
        </is>
      </c>
      <c r="H34" s="10" t="inlineStr">
        <is>
          <t>673</t>
        </is>
      </c>
      <c r="I34" s="10" t="inlineStr">
        <is>
          <t>No</t>
        </is>
      </c>
      <c r="J34" s="10" t="inlineStr">
        <is>
          <t>≥ 0</t>
        </is>
      </c>
      <c r="K34" s="10" t="inlineStr">
        <is>
          <t>Pública</t>
        </is>
      </c>
      <c r="L34" s="10" t="inlineStr">
        <is>
          <t>Punto dentro de polígono contra boroughs.geojson, sobre el CSV de NaPTAN</t>
        </is>
      </c>
      <c r="M34" s="10" t="inlineStr">
        <is>
          <t>¿Qué infraestructura de transporte tiene Westminster y cómo se compara con los otros boroughs?</t>
        </is>
      </c>
    </row>
    <row r="35">
      <c r="A35" s="10" t="inlineStr">
        <is>
          <t>F28</t>
        </is>
      </c>
      <c r="B35" s="10" t="inlineStr">
        <is>
          <t>lago/transporte_boroughs.json</t>
        </is>
      </c>
      <c r="C35" s="10" t="inlineStr">
        <is>
          <t>puesto_paradas_westminster</t>
        </is>
      </c>
      <c r="D35" s="10" t="inlineStr">
        <is>
          <t>(se calcula: ranking)</t>
        </is>
      </c>
      <c r="E35" s="10" t="inlineStr">
        <is>
          <t>Posición de Westminster entre los 33 boroughs, por número de paradas</t>
        </is>
      </c>
      <c r="F35" s="10" t="inlineStr">
        <is>
          <t>Entero</t>
        </is>
      </c>
      <c r="G35" s="10" t="inlineStr">
        <is>
          <t>puesto de 33</t>
        </is>
      </c>
      <c r="H35" s="10" t="inlineStr">
        <is>
          <t>13</t>
        </is>
      </c>
      <c r="I35" s="10" t="inlineStr">
        <is>
          <t>No</t>
        </is>
      </c>
      <c r="J35" s="10" t="inlineStr">
        <is>
          <t>1 a 33</t>
        </is>
      </c>
      <c r="K35" s="10" t="inlineStr">
        <is>
          <t>Pública</t>
        </is>
      </c>
      <c r="L35" s="10" t="inlineStr">
        <is>
          <t>Ordenar los 33 boroughs por paradas_n descendente</t>
        </is>
      </c>
      <c r="M35" s="10" t="inlineStr">
        <is>
          <t>¿Qué infraestructura de transporte tiene Westminster y cómo se compara con los otros boroughs?</t>
        </is>
      </c>
    </row>
    <row r="36">
      <c r="A36" s="10" t="inlineStr">
        <is>
          <t>F19</t>
        </is>
      </c>
      <c r="B36" s="10" t="inlineStr">
        <is>
          <t>lago/aire_laqn.json</t>
        </is>
      </c>
      <c r="C36" s="10" t="inlineStr">
        <is>
          <t>indice_aire_westminster</t>
        </is>
      </c>
      <c r="D36" s="10" t="inlineStr">
        <is>
          <t>@AirQualityIndex</t>
        </is>
      </c>
      <c r="E36" s="10" t="inlineStr">
        <is>
          <t>Índice de calidad del aire de Westminster: promedio, entre sus estaciones activas, del máximo por contaminante de cada una (DAQI real)</t>
        </is>
      </c>
      <c r="F36" s="10" t="inlineStr">
        <is>
          <t>Decimal</t>
        </is>
      </c>
      <c r="G36" s="10" t="inlineStr">
        <is>
          <t>índice DAQI (1 bajo · 10 muy alto)</t>
        </is>
      </c>
      <c r="H36" s="10" t="inlineStr">
        <is>
          <t>1.38</t>
        </is>
      </c>
      <c r="I36" s="10" t="inlineStr">
        <is>
          <t>No</t>
        </is>
      </c>
      <c r="J36" s="10" t="inlineStr">
        <is>
          <t>1 a 10</t>
        </is>
      </c>
      <c r="K36" s="10" t="inlineStr">
        <is>
          <t>Pública</t>
        </is>
      </c>
      <c r="L36" s="10" t="inlineStr">
        <is>
          <t>Por estación: máximo entre sus contaminantes (DAQI real, no promedio entre especies). Por borough: promedio de esos máximos entre sus estaciones</t>
        </is>
      </c>
      <c r="M36" s="10" t="inlineStr">
        <is>
          <t>¿Cómo está el clima y el aire de Westminster, medido y modelado?</t>
        </is>
      </c>
    </row>
    <row r="37">
      <c r="A37" s="10" t="inlineStr">
        <is>
          <t>F19</t>
        </is>
      </c>
      <c r="B37" s="10" t="inlineStr">
        <is>
          <t>lago/aire_laqn.json</t>
        </is>
      </c>
      <c r="C37" s="10" t="inlineStr">
        <is>
          <t>puesto_aire_westminster</t>
        </is>
      </c>
      <c r="D37" s="10" t="inlineStr">
        <is>
          <t>(se calcula: ranking)</t>
        </is>
      </c>
      <c r="E37" s="10" t="inlineStr">
        <is>
          <t>Posición de Westminster entre los boroughs con estación activa, por índice de aire</t>
        </is>
      </c>
      <c r="F37" s="10" t="inlineStr">
        <is>
          <t>Entero</t>
        </is>
      </c>
      <c r="G37" s="10" t="inlineStr">
        <is>
          <t>puesto de N (varía: entre 14 y 22 boroughs con estación activa, según el día)</t>
        </is>
      </c>
      <c r="H37" s="10" t="inlineStr">
        <is>
          <t>5</t>
        </is>
      </c>
      <c r="I37" s="10" t="inlineStr">
        <is>
          <t>No</t>
        </is>
      </c>
      <c r="J37" s="10" t="inlineStr">
        <is>
          <t>1 a 33 (el denominador varía según el día)</t>
        </is>
      </c>
      <c r="K37" s="10" t="inlineStr">
        <is>
          <t>Pública</t>
        </is>
      </c>
      <c r="L37" s="10" t="inlineStr">
        <is>
          <t>Ordenar los boroughs con estación por índice medio descendente</t>
        </is>
      </c>
      <c r="M37" s="10" t="inlineStr">
        <is>
          <t>¿Cómo está el clima y el aire de Westminster, medido y modelado?</t>
        </is>
      </c>
    </row>
    <row r="38">
      <c r="A38" s="10" t="inlineStr">
        <is>
          <t>F02+F05+F07 (derivado)</t>
        </is>
      </c>
      <c r="B38" s="10" t="inlineStr">
        <is>
          <t>lago/atlas_boroughs.json</t>
        </is>
      </c>
      <c r="C38" s="10" t="inlineStr">
        <is>
          <t>westminster_puesto_poblacion</t>
        </is>
      </c>
      <c r="D38" s="10" t="inlineStr">
        <is>
          <t>(se calcula: ranking)</t>
        </is>
      </c>
      <c r="E38" s="10" t="inlineStr">
        <is>
          <t>Posición de Westminster entre los 33 boroughs, por población</t>
        </is>
      </c>
      <c r="F38" s="10" t="inlineStr">
        <is>
          <t>Entero</t>
        </is>
      </c>
      <c r="G38" s="10" t="inlineStr">
        <is>
          <t>puesto de 33</t>
        </is>
      </c>
      <c r="H38" s="10" t="inlineStr">
        <is>
          <t>28</t>
        </is>
      </c>
      <c r="I38" s="10" t="inlineStr">
        <is>
          <t>No</t>
        </is>
      </c>
      <c r="J38" s="10" t="inlineStr">
        <is>
          <t>1 a 33</t>
        </is>
      </c>
      <c r="K38" s="10" t="inlineStr">
        <is>
          <t>Pública</t>
        </is>
      </c>
      <c r="L38" s="10" t="inlineStr">
        <is>
          <t>Tabla atlas junta población (demografia), área (geo) y precio (economia); se ordena por población</t>
        </is>
      </c>
      <c r="M38" s="10" t="inlineStr">
        <is>
          <t>¿Cómo se compara Westminster con los otros 32 boroughs en lo esencial?</t>
        </is>
      </c>
    </row>
    <row r="39">
      <c r="A39" s="10" t="inlineStr">
        <is>
          <t>F02+F05+F07 (derivado)</t>
        </is>
      </c>
      <c r="B39" s="10" t="inlineStr">
        <is>
          <t>lago/atlas_boroughs.json</t>
        </is>
      </c>
      <c r="C39" s="10" t="inlineStr">
        <is>
          <t>westminster_puesto_precio</t>
        </is>
      </c>
      <c r="D39" s="10" t="inlineStr">
        <is>
          <t>(se calcula: ranking)</t>
        </is>
      </c>
      <c r="E39" s="10" t="inlineStr">
        <is>
          <t>Posición de Westminster entre los 33 boroughs, por precio medio de vivienda</t>
        </is>
      </c>
      <c r="F39" s="10" t="inlineStr">
        <is>
          <t>Entero</t>
        </is>
      </c>
      <c r="G39" s="10" t="inlineStr">
        <is>
          <t>puesto de 33</t>
        </is>
      </c>
      <c r="H39" s="10" t="inlineStr">
        <is>
          <t>2</t>
        </is>
      </c>
      <c r="I39" s="10" t="inlineStr">
        <is>
          <t>No</t>
        </is>
      </c>
      <c r="J39" s="10" t="inlineStr">
        <is>
          <t>1 a 33</t>
        </is>
      </c>
      <c r="K39" s="10" t="inlineStr">
        <is>
          <t>Pública</t>
        </is>
      </c>
      <c r="L39" s="10" t="inlineStr">
        <is>
          <t>Misma tabla atlas, ordenada por precio_medio_gbp descendente</t>
        </is>
      </c>
      <c r="M39" s="10" t="inlineStr">
        <is>
          <t>¿Cómo se compara Westminster con los otros 32 boroughs en lo esencial?</t>
        </is>
      </c>
    </row>
    <row r="40">
      <c r="A40" s="10" t="inlineStr">
        <is>
          <t>F02+F05+F07 (derivado)</t>
        </is>
      </c>
      <c r="B40" s="10" t="inlineStr">
        <is>
          <t>lago/atlas_boroughs.json</t>
        </is>
      </c>
      <c r="C40" s="10" t="inlineStr">
        <is>
          <t>borough_mas_caro</t>
        </is>
      </c>
      <c r="D40" s="10" t="inlineStr">
        <is>
          <t>(se calcula: máximo de la tabla atlas)</t>
        </is>
      </c>
      <c r="E40" s="10" t="inlineStr">
        <is>
          <t>El borough con el precio medio de vivienda más alto de Londres</t>
        </is>
      </c>
      <c r="F40" s="10" t="inlineStr">
        <is>
          <t>Texto</t>
        </is>
      </c>
      <c r="G40" s="10" t="inlineStr">
        <is>
          <t>borough</t>
        </is>
      </c>
      <c r="H40" s="10" t="inlineStr">
        <is>
          <t>Kensington and Chelsea</t>
        </is>
      </c>
      <c r="I40" s="10" t="inlineStr">
        <is>
          <t>No</t>
        </is>
      </c>
      <c r="J40" s="10" t="inlineStr">
        <is>
          <t>uno de los 33 nombres</t>
        </is>
      </c>
      <c r="K40" s="10" t="inlineStr">
        <is>
          <t>Pública</t>
        </is>
      </c>
      <c r="L40" s="10" t="inlineStr">
        <is>
          <t>max() sobre precio_medio_gbp de los 33 boroughs</t>
        </is>
      </c>
      <c r="M40" s="10" t="inlineStr">
        <is>
          <t>¿Cómo se compara Westminster con los otros 32 boroughs en lo esencial?</t>
        </is>
      </c>
    </row>
    <row r="41">
      <c r="A41" s="10" t="inlineStr">
        <is>
          <t>F02+F05+F07 (derivado)</t>
        </is>
      </c>
      <c r="B41" s="10" t="inlineStr">
        <is>
          <t>lago/correlaciones.json</t>
        </is>
      </c>
      <c r="C41" s="10" t="inlineStr">
        <is>
          <t>pares_n</t>
        </is>
      </c>
      <c r="D41" s="10" t="inlineStr">
        <is>
          <t>(se calcula: combinaciones)</t>
        </is>
      </c>
      <c r="E41" s="10" t="inlineStr">
        <is>
          <t>Cuántos pares de métricas se comparan en la matriz de correlaciones</t>
        </is>
      </c>
      <c r="F41" s="10" t="inlineStr">
        <is>
          <t>Entero</t>
        </is>
      </c>
      <c r="G41" s="10" t="inlineStr">
        <is>
          <t>pares</t>
        </is>
      </c>
      <c r="H41" s="10" t="inlineStr">
        <is>
          <t>6</t>
        </is>
      </c>
      <c r="I41" s="10" t="inlineStr">
        <is>
          <t>No</t>
        </is>
      </c>
      <c r="J41" s="10">
        <f> C(4,2)</f>
        <v/>
      </c>
      <c r="K41" s="10" t="inlineStr">
        <is>
          <t>Pública</t>
        </is>
      </c>
      <c r="L41" s="10" t="inlineStr">
        <is>
          <t>Combinaciones de las 4 métricas numéricas del atlas, tomadas de a dos</t>
        </is>
      </c>
      <c r="M41" s="10" t="inlineStr">
        <is>
          <t>¿Cuántas comparaciones hace el sistema, y cuáles podrían ser azar?</t>
        </is>
      </c>
    </row>
    <row r="42">
      <c r="A42" s="10" t="inlineStr">
        <is>
          <t>F02+F05+F07 (derivado)</t>
        </is>
      </c>
      <c r="B42" s="10" t="inlineStr">
        <is>
          <t>lago/correlaciones.json</t>
        </is>
      </c>
      <c r="C42" s="10" t="inlineStr">
        <is>
          <t>asociacion_mas_fuerte</t>
        </is>
      </c>
      <c r="D42" s="10" t="inlineStr">
        <is>
          <t>(se calcula: coeficiente de Pearson)</t>
        </is>
      </c>
      <c r="E42" s="10" t="inlineStr">
        <is>
          <t>El par de métricas con la asociación más fuerte entre los 33 boroughs</t>
        </is>
      </c>
      <c r="F42" s="10" t="inlineStr">
        <is>
          <t>Decimal</t>
        </is>
      </c>
      <c r="G42" s="10" t="inlineStr">
        <is>
          <t>coeficiente r</t>
        </is>
      </c>
      <c r="H42" s="10" t="inlineStr">
        <is>
          <t>-0.726</t>
        </is>
      </c>
      <c r="I42" s="10" t="inlineStr">
        <is>
          <t>No</t>
        </is>
      </c>
      <c r="J42" s="10" t="inlineStr">
        <is>
          <t>entre -1 y 1</t>
        </is>
      </c>
      <c r="K42" s="10" t="inlineStr">
        <is>
          <t>Pública</t>
        </is>
      </c>
      <c r="L42" s="10" t="inlineStr">
        <is>
          <t>Pearson sobre área (km²) y densidad (hab/km²) de los 33 boroughs; describe asociación, no causa</t>
        </is>
      </c>
      <c r="M42" s="10" t="inlineStr">
        <is>
          <t>¿Cuántas comparaciones hace el sistema, y cuáles podrían ser azar?</t>
        </is>
      </c>
    </row>
    <row r="43">
      <c r="A43" s="10" t="inlineStr">
        <is>
          <t>F12</t>
        </is>
      </c>
      <c r="B43" s="10" t="inlineStr">
        <is>
          <t>lago/privacion.json</t>
        </is>
      </c>
      <c r="C43" s="10" t="inlineStr">
        <is>
          <t>lsoa_mas_privado / lsoa_menos_privado</t>
        </is>
      </c>
      <c r="D43" s="10" t="inlineStr">
        <is>
          <t>(se calcula: min/max sobre rank nacional IMD)</t>
        </is>
      </c>
      <c r="E43" s="10" t="inlineStr">
        <is>
          <t>El LSOA (unidad censal, ~1.500 hab.) más y menos privado de Westminster, por rank nacional IMD 2025</t>
        </is>
      </c>
      <c r="F43" s="10" t="inlineStr">
        <is>
          <t>Texto</t>
        </is>
      </c>
      <c r="G43" s="10" t="inlineStr">
        <is>
          <t>nombre de LSOA</t>
        </is>
      </c>
      <c r="H43" s="10" t="inlineStr">
        <is>
          <t>Westminster 020B</t>
        </is>
      </c>
      <c r="I43" s="10" t="inlineStr">
        <is>
          <t>No</t>
        </is>
      </c>
      <c r="J43" s="10" t="inlineStr">
        <is>
          <t>uno de los 123 LSOA de Westminster</t>
        </is>
      </c>
      <c r="K43" s="10" t="inlineStr">
        <is>
          <t>Pública</t>
        </is>
      </c>
      <c r="L43" s="10" t="inlineStr">
        <is>
          <t>min()/max() del rank nacional entre los 123 LSOA de Westminster (rank 1 = el más privado del país)</t>
        </is>
      </c>
      <c r="M43" s="10" t="inlineStr">
        <is>
          <t>El campo más delicado del lago: nombra una unidad censal concreta como la más privada de Inglaterra (pregunta 5 del documento de justificación)</t>
        </is>
      </c>
    </row>
    <row r="44">
      <c r="A44" s="10" t="n"/>
      <c r="B44" s="10" t="n"/>
      <c r="C44" s="10" t="n"/>
      <c r="D44" s="10" t="n"/>
      <c r="E44" s="10" t="n"/>
      <c r="F44" s="10" t="n"/>
      <c r="G44" s="10" t="n"/>
      <c r="H44" s="10" t="n"/>
      <c r="I44" s="10" t="n"/>
      <c r="J44" s="10" t="n"/>
      <c r="K44" s="10" t="n"/>
      <c r="L44" s="10" t="n"/>
      <c r="M44" s="10" t="n"/>
    </row>
  </sheetData>
  <dataValidations count="3">
    <dataValidation sqref="F5:F44" showDropDown="0" showInputMessage="0" showErrorMessage="0" allowBlank="1" error="Elijan una opción de la lista" type="list">
      <formula1>"Texto,Entero,Decimal,Fecha,Booleano,Código,Coordenada / geometría"</formula1>
    </dataValidation>
    <dataValidation sqref="I5:I44" showDropDown="0" showInputMessage="0" showErrorMessage="0" allowBlank="1" error="Elijan una opción de la lista" type="list">
      <formula1>"Sí,No"</formula1>
    </dataValidation>
    <dataValidation sqref="K5:K44" showDropDown="0" showInputMessage="0" showErrorMessage="0" allowBlank="1" error="Elijan una opción de la lista" type="list">
      <formula1>"Pública,Interna,Sensible,Dato personal"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5" customWidth="1" min="1" max="1"/>
    <col width="16" customWidth="1" min="2" max="2"/>
    <col width="36" customWidth="1" min="3" max="4"/>
    <col width="30" customWidth="1" min="5" max="5"/>
    <col width="16" customWidth="1" min="6" max="6"/>
    <col width="12" customWidth="1" min="7" max="7"/>
    <col width="30" customWidth="1" min="8" max="8"/>
  </cols>
  <sheetData>
    <row r="1" ht="18" customHeight="1">
      <c r="A1" s="6" t="inlineStr">
        <is>
          <t>3. Bitácora de la búsqueda con IA</t>
        </is>
      </c>
    </row>
    <row r="2">
      <c r="A2" s="7" t="inlineStr">
        <is>
          <t>Qué le encargaron a la IA y qué pasó con lo que respondió. Incluyan los errores: valen tanto como los aciertos.</t>
        </is>
      </c>
    </row>
    <row r="3" ht="42" customHeight="1">
      <c r="A3" s="8" t="inlineStr">
        <is>
          <t>#</t>
        </is>
      </c>
      <c r="B3" s="8" t="inlineStr">
        <is>
          <t>Herramienta de IA</t>
        </is>
      </c>
      <c r="C3" s="8" t="inlineStr">
        <is>
          <t>Qué le encargaron</t>
        </is>
      </c>
      <c r="D3" s="8" t="inlineStr">
        <is>
          <t>Qué respondió (resumen)</t>
        </is>
      </c>
      <c r="E3" s="8" t="inlineStr">
        <is>
          <t>Cómo lo comprobaron</t>
        </is>
      </c>
      <c r="F3" s="8" t="inlineStr">
        <is>
          <t>Resultado</t>
        </is>
      </c>
      <c r="G3" s="8" t="inlineStr">
        <is>
          <t>ID fuente que salió de ahí</t>
        </is>
      </c>
      <c r="H3" s="8" t="inlineStr">
        <is>
          <t>Qué aprendieron</t>
        </is>
      </c>
    </row>
    <row r="4" ht="52" customHeight="1">
      <c r="A4" s="9" t="inlineStr">
        <is>
          <t>1</t>
        </is>
      </c>
      <c r="B4" s="9" t="inlineStr">
        <is>
          <t>Claude</t>
        </is>
      </c>
      <c r="C4" s="9" t="inlineStr">
        <is>
          <t>Encontrar una fuente abierta y sin llave que mida cuánto interés despierta Medellín fuera de la ciudad</t>
        </is>
      </c>
      <c r="D4" s="9" t="inlineStr">
        <is>
          <t>Propuso Google Trends y la API de vistas de Wikipedia</t>
        </is>
      </c>
      <c r="E4" s="9" t="inlineStr">
        <is>
          <t>Probamos las dos: Google Trends no tiene API abierta ni licencia de reutilización; la de Wikipedia respondió con curl y declara CC0</t>
        </is>
      </c>
      <c r="F4" s="9" t="inlineStr">
        <is>
          <t>Parcial</t>
        </is>
      </c>
      <c r="G4" s="9" t="inlineStr">
        <is>
          <t>F01</t>
        </is>
      </c>
      <c r="H4" s="9" t="inlineStr">
        <is>
          <t>Que la IA nombre una fuente no quiere decir que se pueda usar: la licencia y el acceso se comprueban uno mismo.</t>
        </is>
      </c>
    </row>
    <row r="5">
      <c r="A5" s="10" t="n">
        <v>1</v>
      </c>
      <c r="B5" s="10" t="inlineStr">
        <is>
          <t>Claude (modelo Sonnet 5, con herramientas de navegador)</t>
        </is>
      </c>
      <c r="C5" s="10" t="inlineStr">
        <is>
          <t>Rastrear fuentes abiertas de Londres cubriendo las 9 familias del taller (estadística oficial, economía, plata pública, seguridad/salud/educación, portal de la ciudad, ambiente, territorio, desde arriba, lo que se dice)</t>
        </is>
      </c>
      <c r="D5" s="10" t="inlineStr">
        <is>
          <t>Propuso y abrió 149 fuentes, probando cada URL en vivo (no solo nombrándolas) y buscando el texto de la licencia en la propia página antes de aceptarla</t>
        </is>
      </c>
      <c r="E5" s="10" t="inlineStr">
        <is>
          <t>Se corrió un script propio (catalogo/probar.py) que vuelve a abrir cada URL y compara el texto de licencia encontrado contra lo declarado</t>
        </is>
      </c>
      <c r="F5" s="10" t="inlineStr">
        <is>
          <t>Correcto</t>
        </is>
      </c>
      <c r="G5" s="10" t="inlineStr">
        <is>
          <t>todas (149 fichas; no se reduce a una sola, ver catalogo/rastreo.json)</t>
        </is>
      </c>
      <c r="H5" s="10" t="inlineStr">
        <is>
          <t>Pedirle a la IA que abra y pruebe cada fuente, no solo que las liste, evita la mitad de los errores de este taller.</t>
        </is>
      </c>
    </row>
    <row r="6">
      <c r="A6" s="10" t="n">
        <v>2</v>
      </c>
      <c r="B6" s="10" t="inlineStr">
        <is>
          <t>Claude (modelo Sonnet 5)</t>
        </is>
      </c>
      <c r="C6" s="10" t="inlineStr">
        <is>
          <t>Fichar GDELT 2.0 como fuente candidata de escucha social</t>
        </is>
      </c>
      <c r="D6" s="10" t="inlineStr">
        <is>
          <t>Heredó del catálogo original la entidad «GLA» (Greater London Authority) para GDELT</t>
        </is>
      </c>
      <c r="E6" s="10" t="inlineStr">
        <is>
          <t>Al revisar la ficha para esta bitácora se notó que GDELT es un proyecto independiente, sin relación con la GLA: error de copiar-pegar del catálogo base</t>
        </is>
      </c>
      <c r="F6" s="10" t="inlineStr">
        <is>
          <t>Incorrecto</t>
        </is>
      </c>
      <c r="G6" s="10" t="inlineStr">
        <is>
          <t>F38</t>
        </is>
      </c>
      <c r="H6" s="10" t="inlineStr">
        <is>
          <t>Un dato que viene de un catálogo heredado (no inventado por esta sesión) se revisa igual: el origen del error no importa, la cifra sí.</t>
        </is>
      </c>
    </row>
    <row r="7">
      <c r="A7" s="10" t="n">
        <v>3</v>
      </c>
      <c r="B7" s="10" t="inlineStr">
        <is>
          <t>Claude (modelo Sonnet 5)</t>
        </is>
      </c>
      <c r="C7" s="10" t="inlineStr">
        <is>
          <t>Encontrar una fuente de riesgo de inundación para la función «analizar un punto»</t>
        </is>
      </c>
      <c r="D7" s="10" t="inlineStr">
        <is>
          <t>Propuso primero el monitoreo en tiempo real de la Environment Agency (niveles de río y alertas activas)</t>
        </is>
      </c>
      <c r="E7" s="10" t="inlineStr">
        <is>
          <t>Al revisarla para el script se notó que mide algo distinto: condición actual, no zona de riesgo estructural. Se buscó y se encontró flood-risk-zone de Planning Data</t>
        </is>
      </c>
      <c r="F7" s="10" t="inlineStr">
        <is>
          <t>Incorrecto</t>
        </is>
      </c>
      <c r="G7" s="10" t="inlineStr">
        <is>
          <t>F27</t>
        </is>
      </c>
      <c r="H7" s="10" t="inlineStr">
        <is>
          <t>Dos fuentes con nombres parecidos («monitoreo de inundación» vs. «zona de riesgo») miden cosas distintas; hay que leer qué pregunta responde cada una, no solo el tema.</t>
        </is>
      </c>
    </row>
    <row r="8">
      <c r="A8" s="10" t="n">
        <v>4</v>
      </c>
      <c r="B8" s="10" t="inlineStr">
        <is>
          <t>Claude (modelo Sonnet 5)</t>
        </is>
      </c>
      <c r="C8" s="10" t="inlineStr">
        <is>
          <t>Filtrar flood-risk-zone de Planning Data a solo Westminster, usando un parámetro bbox</t>
        </is>
      </c>
      <c r="D8" s="10" t="inlineStr">
        <is>
          <t>Probó bbox=-0.22,51.49,-0.12,51.53 y la API devolvió 200</t>
        </is>
      </c>
      <c r="E8" s="10" t="inlineStr">
        <is>
          <t>Se revisaron las coordenadas del resultado: eran de las Islas Scilly, al suroeste de Inglaterra, no de Londres. El parámetro bbox no existe y la API lo ignora en silencio</t>
        </is>
      </c>
      <c r="F8" s="10" t="inlineStr">
        <is>
          <t>Incorrecto</t>
        </is>
      </c>
      <c r="G8" s="10" t="inlineStr">
        <is>
          <t>F27</t>
        </is>
      </c>
      <c r="H8" s="10" t="inlineStr">
        <is>
          <t>Un 200 no significa que el filtro funcionó: hay que mirar el contenido de la respuesta, no solo el código HTTP.</t>
        </is>
      </c>
    </row>
    <row r="9">
      <c r="A9" s="10" t="n">
        <v>5</v>
      </c>
      <c r="B9" s="10" t="inlineStr">
        <is>
          <t>Claude (modelo Sonnet 5)</t>
        </is>
      </c>
      <c r="C9" s="10" t="inlineStr">
        <is>
          <t>Calcular un índice comparable de calidad del aire por borough (LAQN)</t>
        </is>
      </c>
      <c r="D9" s="10" t="inlineStr">
        <is>
          <t>Convirtió la banda de texto de la fuente (Low/Moderate/High/Very High) a un número propio de 1 a 4</t>
        </is>
      </c>
      <c r="E9" s="10" t="inlineStr">
        <is>
          <t>El resultado dio los 18 boroughs empatados en 1,0 — mismo patrón que el taller critica en el tsunami de Lima (todo en cero, pero el sistema igual nombra «la zona más expuesta»). Se revisó el JSON crudo y se encontró que la fuente ya trae un índice numérico más fino (escala DAQI 1-10)</t>
        </is>
      </c>
      <c r="F9" s="10" t="inlineStr">
        <is>
          <t>Incorrecto</t>
        </is>
      </c>
      <c r="G9" s="10" t="inlineStr">
        <is>
          <t>F19</t>
        </is>
      </c>
      <c r="H9" s="10" t="inlineStr">
        <is>
          <t>No inventar una escala propia cuando la fuente ya publica una más precisa: la conversión a texto perdía información que sí estaba disponible.</t>
        </is>
      </c>
    </row>
    <row r="10">
      <c r="A10" s="10" t="n">
        <v>6</v>
      </c>
      <c r="B10" s="10" t="inlineStr">
        <is>
          <t>Claude (modelo Sonnet 5)</t>
        </is>
      </c>
      <c r="C10" s="10" t="inlineStr">
        <is>
          <t>Leer la tabla de Council Tax por borough de un archivo .ods del MHCLG</t>
        </is>
      </c>
      <c r="D10" s="10" t="inlineStr">
        <is>
          <t>Abrió la hoja «Table_10», que el nombre del archivo sugería como la tabla de resultados</t>
        </is>
      </c>
      <c r="E10" s="10" t="inlineStr">
        <is>
          <t>Al leer las primeras filas resultó ser un formulario de recolección en blanco (CTR1), no datos publicados. Se buscó en otro archivo de la misma colección y se encontró «Table_8a», la tabla real</t>
        </is>
      </c>
      <c r="F10" s="10" t="inlineStr">
        <is>
          <t>Parcial</t>
        </is>
      </c>
      <c r="G10" s="10" t="inlineStr">
        <is>
          <t>F23</t>
        </is>
      </c>
      <c r="H10" s="10" t="inlineStr">
        <is>
          <t>Dos archivos con nombres de hoja parecidos pueden tener contenidos completamente distintos: siempre imprimir y mirar las primeras filas antes de confiar en el nombre.</t>
        </is>
      </c>
    </row>
    <row r="11">
      <c r="A11" s="10" t="n">
        <v>7</v>
      </c>
      <c r="B11" s="10" t="inlineStr">
        <is>
          <t>Claude (modelo Sonnet 5)</t>
        </is>
      </c>
      <c r="C11" s="10" t="inlineStr">
        <is>
          <t>Clasificar 21.284 paradas de transporte (NaPTAN) por borough, aunque el archivo no trae esa columna</t>
        </is>
      </c>
      <c r="D11" s="10" t="inlineStr">
        <is>
          <t>Propuso y construyó una clasificación por punto dentro de polígono contra los 33 boroughs oficiales ya en el repositorio</t>
        </is>
      </c>
      <c r="E11" s="10" t="inlineStr">
        <is>
          <t>Se comprobó el conteo total (21.252 de 21.284 clasificadas, 32 sin clasificar en bordes o sobre el río) y se revisaron los boroughs con más y menos paradas contra lo esperable geográficamente</t>
        </is>
      </c>
      <c r="F11" s="10" t="inlineStr">
        <is>
          <t>Correcto</t>
        </is>
      </c>
      <c r="G11" s="10" t="inlineStr">
        <is>
          <t>F28</t>
        </is>
      </c>
      <c r="H11" s="10" t="inlineStr">
        <is>
          <t>Cuando una fuente no trae el campo que se necesita pero sí trae coordenadas, cruzar con una geometría que ya existe en el repositorio es mejor que buscar otra fuente nueva.</t>
        </is>
      </c>
    </row>
    <row r="12">
      <c r="A12" s="10" t="n">
        <v>8</v>
      </c>
      <c r="B12" s="10" t="inlineStr">
        <is>
          <t>Claude (modelo Sonnet 5)</t>
        </is>
      </c>
      <c r="C12" s="10" t="inlineStr">
        <is>
          <t>Encontrar el indicador de esperanza de vida en la API de Fingertips (OHID)</t>
        </is>
      </c>
      <c r="D12" s="10" t="inlineStr">
        <is>
          <t>El endpoint documentado de metadatos por grupo devolvió error 500</t>
        </is>
      </c>
      <c r="E12" s="10" t="inlineStr">
        <is>
          <t>Se encontró el indicador correcto (90366) leyendo la cabecera de un volcado masivo de datos del mismo grupo, en vez de depender del endpoint roto</t>
        </is>
      </c>
      <c r="F12" s="10" t="inlineStr">
        <is>
          <t>Correcto</t>
        </is>
      </c>
      <c r="G12" s="10" t="inlineStr">
        <is>
          <t>F25</t>
        </is>
      </c>
      <c r="H12" s="10" t="inlineStr">
        <is>
          <t>Cuando el endpoint «oficial» para una tarea falla, a veces hay una ruta alternativa (un volcado masivo) que sí sirve para el mismo fin.</t>
        </is>
      </c>
    </row>
    <row r="13">
      <c r="A13" s="10" t="n">
        <v>9</v>
      </c>
      <c r="B13" s="10" t="inlineStr">
        <is>
          <t>Claude (modelo Sonnet 5)</t>
        </is>
      </c>
      <c r="C13" s="10" t="inlineStr">
        <is>
          <t>Fichar los wards de los 33 boroughs (F24) como fuente nueva, separada de los límites ya fichados en F07</t>
        </is>
      </c>
      <c r="D13" s="10" t="inlineStr">
        <is>
          <t>Las fichó como dos fuentes distintas en el rastreo inicial</t>
        </is>
      </c>
      <c r="E13" s="10" t="inlineStr">
        <is>
          <t>Al construir el diccionario de datos se notó que ambas vienen del mismo fuentes[] en lago/geo.json (ons_geography): no son dos fuentes, es una ampliación de la misma</t>
        </is>
      </c>
      <c r="F13" s="10" t="inlineStr">
        <is>
          <t>Parcial</t>
        </is>
      </c>
      <c r="G13" s="10" t="inlineStr">
        <is>
          <t>F07</t>
        </is>
      </c>
      <c r="H13" s="10" t="inlineStr">
        <is>
          <t>Dos fichas de rastreo con URLs distintas pueden terminar siendo la misma fuente del lago si comparten el id interno; se revisa antes de entregar, no solo al rastrear.</t>
        </is>
      </c>
    </row>
    <row r="14">
      <c r="A14" s="10" t="n">
        <v>10</v>
      </c>
      <c r="B14" s="10" t="inlineStr">
        <is>
          <t>Claude (modelo Sonnet 5)</t>
        </is>
      </c>
      <c r="C14" s="10" t="inlineStr">
        <is>
          <t>Diagnosticar por qué el verificador fallaba con la licencia OGL-2.0, si ya estaba en la lista de comun.py</t>
        </is>
      </c>
      <c r="D14" s="10" t="inlineStr">
        <is>
          <t>Encontró que verificacion/verificar.py tenía su propia copia de la lista de licencias, desincronizada de ingesta/comun.py</t>
        </is>
      </c>
      <c r="E14" s="10" t="inlineStr">
        <is>
          <t>Se corrigió para que importe la lista en vez de duplicarla, y se corrió el autotest del propio verificador (probar_verificador.sh): siguió atrapando los 13 casos rotos que debía atrapar</t>
        </is>
      </c>
      <c r="F14" s="10" t="inlineStr">
        <is>
          <t>Correcto</t>
        </is>
      </c>
      <c r="G14" s="10" t="inlineStr">
        <is>
          <t>F17</t>
        </is>
      </c>
      <c r="H14" s="10" t="inlineStr">
        <is>
          <t>Dos copias de la misma regla de validación se desincronizan tarde o temprano: una sola fuente importada, no una copiada a mano.</t>
        </is>
      </c>
    </row>
    <row r="15">
      <c r="A15" s="10" t="n">
        <v>11</v>
      </c>
      <c r="B15" s="10" t="inlineStr">
        <is>
          <t>Claude (modelo Sonnet 5)</t>
        </is>
      </c>
      <c r="C15" s="10" t="inlineStr">
        <is>
          <t>Proponer entre 3 y 6 preguntas del sistema, pensando en un gemelo digital y no en un tablero de estadísticas</t>
        </is>
      </c>
      <c r="D15" s="10" t="inlineStr">
        <is>
          <t>Propuso 8 preguntas; varias eran de tipo «tablero» (una cifra sola) en vez de exigir cruzar capas en un punto o zona</t>
        </is>
      </c>
      <c r="E15" s="10" t="inlineStr">
        <is>
          <t>El grupo las revisó y escogió 3 que sí exigían cruce espacial (analizar un punto, comparar los 33 boroughs, seguridad frente a actividad)</t>
        </is>
      </c>
      <c r="F15" s="10" t="inlineStr">
        <is>
          <t>Parcial</t>
        </is>
      </c>
      <c r="G15" s="10" t="inlineStr">
        <is>
          <t>F27, F40, F17 (las que resultaron necesarias)</t>
        </is>
      </c>
      <c r="H15" s="10" t="inlineStr">
        <is>
          <t>Si no se le pide explícitamente, la IA tiende a proponer preguntas de cifra aislada; hay que insistir en el cruce espacial para que la pregunta sea de gemelo y no de tablero.</t>
        </is>
      </c>
    </row>
    <row r="16">
      <c r="A16" s="10" t="n">
        <v>12</v>
      </c>
      <c r="B16" s="10" t="inlineStr">
        <is>
          <t>Claude (modelo Sonnet 5)</t>
        </is>
      </c>
      <c r="C16" s="10" t="inlineStr">
        <is>
          <t>Priorizar y ejecutar las candidatas que valían la pena integrar de las 23 restantes</t>
        </is>
      </c>
      <c r="D16" s="10" t="inlineStr">
        <is>
          <t>Propuso una lista de 5 (incluida F28, transporte) y luego otra de 3 más</t>
        </is>
      </c>
      <c r="E16" s="10" t="inlineStr">
        <is>
          <t>Al terminar de ejecutar la primera lista, se notó que F28 nunca se corrió: se saltó de F23 a F18 por un descuido, no por decisión. Se corrigió en la ronda siguiente</t>
        </is>
      </c>
      <c r="F16" s="10" t="inlineStr">
        <is>
          <t>Parcial</t>
        </is>
      </c>
      <c r="G16" s="10" t="inlineStr">
        <is>
          <t>F28</t>
        </is>
      </c>
      <c r="H16" s="10" t="inlineStr">
        <is>
          <t>Que la IA arme una lista priorizada no garantiza que la ejecute completa: hay que contar al final que coincide con lo prometido al inicio.</t>
        </is>
      </c>
    </row>
    <row r="17">
      <c r="A17" s="10" t="n">
        <v>13</v>
      </c>
      <c r="B17" s="10" t="inlineStr">
        <is>
          <t>Claude (modelo Sonnet 5)</t>
        </is>
      </c>
      <c r="C17" s="10" t="inlineStr">
        <is>
          <t>Evaluar si Contracts Finder (gasto público) era una buena candidata para integrar</t>
        </is>
      </c>
      <c r="D17" s="10" t="inlineStr">
        <is>
          <t>Al revisar un registro de ejemplo de la API, encontró nombre, correo y celular de una persona real (una funcionaria de un NHS Trust) dentro de un campo contactPoint</t>
        </is>
      </c>
      <c r="E17" s="10" t="inlineStr">
        <is>
          <t>Se verificó que no era un caso aislado (el campo existe en el esquema OCDS) y que la API no tiene un filtro geográfico confiable para limitarse a Londres</t>
        </is>
      </c>
      <c r="F17" s="10" t="inlineStr">
        <is>
          <t>Correcto</t>
        </is>
      </c>
      <c r="G17" s="10" t="inlineStr">
        <is>
          <t>F18</t>
        </is>
      </c>
      <c r="H17" s="10" t="inlineStr">
        <is>
          <t>No toda fuente que parece institucional está libre de datos personales; conviene mirar un registro real completo, no solo la documentación, antes de decidir integrarla.</t>
        </is>
      </c>
    </row>
    <row r="18">
      <c r="A18" s="10" t="n">
        <v>14</v>
      </c>
      <c r="B18" s="10" t="inlineStr">
        <is>
          <t>Claude (modelo Sonnet 5)</t>
        </is>
      </c>
      <c r="C18" s="10" t="inlineStr">
        <is>
          <t>Confirmar la licencia de LAQN (calidad del aire) y de postcodes.io antes de integrarlas</t>
        </is>
      </c>
      <c r="D18" s="10" t="inlineStr">
        <is>
          <t>Buscó el texto de licencia en varias páginas de cada sitio</t>
        </is>
      </c>
      <c r="E18" s="10" t="inlineStr">
        <is>
          <t>No se encontró en ninguna de las dos; se dejaron como «sin confirmar» en vez de suponer que, por ser datos públicos y gratuitos, la licencia era abierta</t>
        </is>
      </c>
      <c r="F18" s="10" t="inlineStr">
        <is>
          <t>Correcto</t>
        </is>
      </c>
      <c r="G18" s="10" t="inlineStr">
        <is>
          <t>F19</t>
        </is>
      </c>
      <c r="H18" s="10" t="inlineStr">
        <is>
          <t>«Sin confirmar» es una respuesta válida y más honesta que inventar una licencia que suena razonable.</t>
        </is>
      </c>
    </row>
    <row r="19">
      <c r="A19" s="10" t="n">
        <v>15</v>
      </c>
      <c r="B19" s="10" t="inlineStr">
        <is>
          <t>Claude (modelo Sonnet 5)</t>
        </is>
      </c>
      <c r="C19" s="10" t="inlineStr">
        <is>
          <t>Evaluar Companies House (datos básicos de empresas) como candidata para contar empresas por borough</t>
        </is>
      </c>
      <c r="D19" s="10" t="inlineStr">
        <is>
          <t>Encontró que el archivo trae dirección registrada de cada empresa, y que en razones sociales de autónomos el nombre de la empresa es el nombre de una persona</t>
        </is>
      </c>
      <c r="E19" s="10" t="inlineStr">
        <is>
          <t>Se comparó contra UK Business Counts (Nomis, ya candidata con licencia confirmada), que da el mismo conteo agregado sin ese riesgo</t>
        </is>
      </c>
      <c r="F19" s="10" t="inlineStr">
        <is>
          <t>Correcto</t>
        </is>
      </c>
      <c r="G19" s="10" t="inlineStr">
        <is>
          <t>F30</t>
        </is>
      </c>
      <c r="H19" s="10" t="inlineStr">
        <is>
          <t>Cuando dos fuentes responden la misma pregunta, se prefiere la que no trae datos personales, aunque la otra también tenga licencia abierta.</t>
        </is>
      </c>
    </row>
    <row r="20">
      <c r="A20" s="10" t="n"/>
      <c r="B20" s="10" t="n"/>
      <c r="C20" s="10" t="n"/>
      <c r="D20" s="10" t="n"/>
      <c r="E20" s="10" t="n"/>
      <c r="F20" s="10" t="n"/>
      <c r="G20" s="10" t="n"/>
      <c r="H20" s="10" t="n"/>
    </row>
    <row r="21">
      <c r="A21" s="10" t="n"/>
      <c r="B21" s="10" t="n"/>
      <c r="C21" s="10" t="n"/>
      <c r="D21" s="10" t="n"/>
      <c r="E21" s="10" t="n"/>
      <c r="F21" s="10" t="n"/>
      <c r="G21" s="10" t="n"/>
      <c r="H21" s="10" t="n"/>
    </row>
    <row r="22">
      <c r="A22" s="10" t="n"/>
      <c r="B22" s="10" t="n"/>
      <c r="C22" s="10" t="n"/>
      <c r="D22" s="10" t="n"/>
      <c r="E22" s="10" t="n"/>
      <c r="F22" s="10" t="n"/>
      <c r="G22" s="10" t="n"/>
      <c r="H22" s="10" t="n"/>
    </row>
    <row r="23">
      <c r="A23" s="10" t="n"/>
      <c r="B23" s="10" t="n"/>
      <c r="C23" s="10" t="n"/>
      <c r="D23" s="10" t="n"/>
      <c r="E23" s="10" t="n"/>
      <c r="F23" s="10" t="n"/>
      <c r="G23" s="10" t="n"/>
      <c r="H23" s="10" t="n"/>
    </row>
    <row r="24">
      <c r="A24" s="10" t="n"/>
      <c r="B24" s="10" t="n"/>
      <c r="C24" s="10" t="n"/>
      <c r="D24" s="10" t="n"/>
      <c r="E24" s="10" t="n"/>
      <c r="F24" s="10" t="n"/>
      <c r="G24" s="10" t="n"/>
      <c r="H24" s="10" t="n"/>
    </row>
    <row r="25">
      <c r="A25" s="10" t="n"/>
      <c r="B25" s="10" t="n"/>
      <c r="C25" s="10" t="n"/>
      <c r="D25" s="10" t="n"/>
      <c r="E25" s="10" t="n"/>
      <c r="F25" s="10" t="n"/>
      <c r="G25" s="10" t="n"/>
      <c r="H25" s="10" t="n"/>
    </row>
    <row r="26">
      <c r="A26" s="10" t="n"/>
      <c r="B26" s="10" t="n"/>
      <c r="C26" s="10" t="n"/>
      <c r="D26" s="10" t="n"/>
      <c r="E26" s="10" t="n"/>
      <c r="F26" s="10" t="n"/>
      <c r="G26" s="10" t="n"/>
      <c r="H26" s="10" t="n"/>
    </row>
    <row r="27">
      <c r="A27" s="10" t="n"/>
      <c r="B27" s="10" t="n"/>
      <c r="C27" s="10" t="n"/>
      <c r="D27" s="10" t="n"/>
      <c r="E27" s="10" t="n"/>
      <c r="F27" s="10" t="n"/>
      <c r="G27" s="10" t="n"/>
      <c r="H27" s="10" t="n"/>
    </row>
    <row r="28">
      <c r="A28" s="10" t="n"/>
      <c r="B28" s="10" t="n"/>
      <c r="C28" s="10" t="n"/>
      <c r="D28" s="10" t="n"/>
      <c r="E28" s="10" t="n"/>
      <c r="F28" s="10" t="n"/>
      <c r="G28" s="10" t="n"/>
      <c r="H28" s="10" t="n"/>
    </row>
    <row r="29">
      <c r="A29" s="10" t="n"/>
      <c r="B29" s="10" t="n"/>
      <c r="C29" s="10" t="n"/>
      <c r="D29" s="10" t="n"/>
      <c r="E29" s="10" t="n"/>
      <c r="F29" s="10" t="n"/>
      <c r="G29" s="10" t="n"/>
      <c r="H29" s="10" t="n"/>
    </row>
    <row r="30">
      <c r="A30" s="10" t="n"/>
      <c r="B30" s="10" t="n"/>
      <c r="C30" s="10" t="n"/>
      <c r="D30" s="10" t="n"/>
      <c r="E30" s="10" t="n"/>
      <c r="F30" s="10" t="n"/>
      <c r="G30" s="10" t="n"/>
      <c r="H30" s="10" t="n"/>
    </row>
    <row r="31">
      <c r="A31" s="10" t="n"/>
      <c r="B31" s="10" t="n"/>
      <c r="C31" s="10" t="n"/>
      <c r="D31" s="10" t="n"/>
      <c r="E31" s="10" t="n"/>
      <c r="F31" s="10" t="n"/>
      <c r="G31" s="10" t="n"/>
      <c r="H31" s="10" t="n"/>
    </row>
    <row r="32">
      <c r="A32" s="10" t="n"/>
      <c r="B32" s="10" t="n"/>
      <c r="C32" s="10" t="n"/>
      <c r="D32" s="10" t="n"/>
      <c r="E32" s="10" t="n"/>
      <c r="F32" s="10" t="n"/>
      <c r="G32" s="10" t="n"/>
      <c r="H32" s="10" t="n"/>
    </row>
    <row r="33">
      <c r="A33" s="10" t="n"/>
      <c r="B33" s="10" t="n"/>
      <c r="C33" s="10" t="n"/>
      <c r="D33" s="10" t="n"/>
      <c r="E33" s="10" t="n"/>
      <c r="F33" s="10" t="n"/>
      <c r="G33" s="10" t="n"/>
      <c r="H33" s="10" t="n"/>
    </row>
    <row r="34">
      <c r="A34" s="10" t="n"/>
      <c r="B34" s="10" t="n"/>
      <c r="C34" s="10" t="n"/>
      <c r="D34" s="10" t="n"/>
      <c r="E34" s="10" t="n"/>
      <c r="F34" s="10" t="n"/>
      <c r="G34" s="10" t="n"/>
      <c r="H34" s="10" t="n"/>
    </row>
    <row r="35">
      <c r="A35" s="10" t="n"/>
      <c r="B35" s="10" t="n"/>
      <c r="C35" s="10" t="n"/>
      <c r="D35" s="10" t="n"/>
      <c r="E35" s="10" t="n"/>
      <c r="F35" s="10" t="n"/>
      <c r="G35" s="10" t="n"/>
      <c r="H35" s="10" t="n"/>
    </row>
    <row r="36">
      <c r="A36" s="10" t="n"/>
      <c r="B36" s="10" t="n"/>
      <c r="C36" s="10" t="n"/>
      <c r="D36" s="10" t="n"/>
      <c r="E36" s="10" t="n"/>
      <c r="F36" s="10" t="n"/>
      <c r="G36" s="10" t="n"/>
      <c r="H36" s="10" t="n"/>
    </row>
    <row r="37">
      <c r="A37" s="10" t="n"/>
      <c r="B37" s="10" t="n"/>
      <c r="C37" s="10" t="n"/>
      <c r="D37" s="10" t="n"/>
      <c r="E37" s="10" t="n"/>
      <c r="F37" s="10" t="n"/>
      <c r="G37" s="10" t="n"/>
      <c r="H37" s="10" t="n"/>
    </row>
    <row r="38">
      <c r="A38" s="10" t="n"/>
      <c r="B38" s="10" t="n"/>
      <c r="C38" s="10" t="n"/>
      <c r="D38" s="10" t="n"/>
      <c r="E38" s="10" t="n"/>
      <c r="F38" s="10" t="n"/>
      <c r="G38" s="10" t="n"/>
      <c r="H38" s="10" t="n"/>
    </row>
    <row r="39">
      <c r="A39" s="10" t="n"/>
      <c r="B39" s="10" t="n"/>
      <c r="C39" s="10" t="n"/>
      <c r="D39" s="10" t="n"/>
      <c r="E39" s="10" t="n"/>
      <c r="F39" s="10" t="n"/>
      <c r="G39" s="10" t="n"/>
      <c r="H39" s="10" t="n"/>
    </row>
    <row r="40">
      <c r="A40" s="10" t="n"/>
      <c r="B40" s="10" t="n"/>
      <c r="C40" s="10" t="n"/>
      <c r="D40" s="10" t="n"/>
      <c r="E40" s="10" t="n"/>
      <c r="F40" s="10" t="n"/>
      <c r="G40" s="10" t="n"/>
      <c r="H40" s="10" t="n"/>
    </row>
    <row r="41">
      <c r="A41" s="10" t="n"/>
      <c r="B41" s="10" t="n"/>
      <c r="C41" s="10" t="n"/>
      <c r="D41" s="10" t="n"/>
      <c r="E41" s="10" t="n"/>
      <c r="F41" s="10" t="n"/>
      <c r="G41" s="10" t="n"/>
      <c r="H41" s="10" t="n"/>
    </row>
    <row r="42">
      <c r="A42" s="10" t="n"/>
      <c r="B42" s="10" t="n"/>
      <c r="C42" s="10" t="n"/>
      <c r="D42" s="10" t="n"/>
      <c r="E42" s="10" t="n"/>
      <c r="F42" s="10" t="n"/>
      <c r="G42" s="10" t="n"/>
      <c r="H42" s="10" t="n"/>
    </row>
    <row r="43">
      <c r="A43" s="10" t="n"/>
      <c r="B43" s="10" t="n"/>
      <c r="C43" s="10" t="n"/>
      <c r="D43" s="10" t="n"/>
      <c r="E43" s="10" t="n"/>
      <c r="F43" s="10" t="n"/>
      <c r="G43" s="10" t="n"/>
      <c r="H43" s="10" t="n"/>
    </row>
    <row r="44">
      <c r="A44" s="10" t="n"/>
      <c r="B44" s="10" t="n"/>
      <c r="C44" s="10" t="n"/>
      <c r="D44" s="10" t="n"/>
      <c r="E44" s="10" t="n"/>
      <c r="F44" s="10" t="n"/>
      <c r="G44" s="10" t="n"/>
      <c r="H44" s="10" t="n"/>
    </row>
  </sheetData>
  <dataValidations count="1">
    <dataValidation sqref="F5:F44" showDropDown="0" showInputMessage="0" showErrorMessage="0" allowBlank="1" error="Elijan una opción de la lista" type="list">
      <formula1>"Correcto,Parcial,Incorrecto,Inventado"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10" defaultColWidth="8.83203125" defaultRowHeight="15"/>
  <cols>
    <col width="48" customWidth="1" min="1" max="1"/>
    <col width="14" customWidth="1" min="2" max="2"/>
  </cols>
  <sheetData>
    <row r="1" ht="18" customHeight="1">
      <c r="A1" s="6" t="inlineStr">
        <is>
          <t>Resumen del lago</t>
        </is>
      </c>
    </row>
    <row r="2">
      <c r="A2" s="7" t="inlineStr">
        <is>
          <t>Se calcula solo desde las otras hojas; no cuenta las filas de ejemplo (fila 4).</t>
        </is>
      </c>
    </row>
    <row r="4">
      <c r="A4" s="11" t="inlineStr">
        <is>
          <t>Fuentes registradas</t>
        </is>
      </c>
      <c r="B4" s="12">
        <f>COUNTA('1. Fuentes'!A5:A44)</f>
        <v/>
      </c>
    </row>
    <row r="5">
      <c r="A5" s="13" t="inlineStr">
        <is>
          <t xml:space="preserve">  · integradas al lago</t>
        </is>
      </c>
      <c r="B5" s="12">
        <f>COUNTIF('1. Fuentes'!N5:N44,"Integrada al lago")</f>
        <v/>
      </c>
    </row>
    <row r="6">
      <c r="A6" s="13" t="inlineStr">
        <is>
          <t xml:space="preserve">  · candidatas</t>
        </is>
      </c>
      <c r="B6" s="12">
        <f>COUNTIF('1. Fuentes'!N5:N44,"Candidata")</f>
        <v/>
      </c>
    </row>
    <row r="7">
      <c r="A7" s="13" t="inlineStr">
        <is>
          <t xml:space="preserve">  · que no responden</t>
        </is>
      </c>
      <c r="B7" s="12">
        <f>COUNTIF('1. Fuentes'!N5:N44,"No responde")</f>
        <v/>
      </c>
    </row>
    <row r="8">
      <c r="A8" s="13" t="inlineStr">
        <is>
          <t xml:space="preserve">  · que no existen (inventadas por la IA)</t>
        </is>
      </c>
      <c r="B8" s="12">
        <f>COUNTIF('1. Fuentes'!N5:N44,"No existe (la inventó la IA)")</f>
        <v/>
      </c>
    </row>
    <row r="9">
      <c r="A9" s="13" t="inlineStr">
        <is>
          <t xml:space="preserve">  · descartadas</t>
        </is>
      </c>
      <c r="B9" s="12">
        <f>COUNTIF('1. Fuentes'!N5:N44,"Descartada")</f>
        <v/>
      </c>
    </row>
    <row r="10">
      <c r="A10" s="11" t="inlineStr">
        <is>
          <t>Fuentes con licencia «no declara» o vacía</t>
        </is>
      </c>
      <c r="B10" s="12">
        <f>COUNTIF('1. Fuentes'!H5:H44,"no declara")+COUNTIFS('1. Fuentes'!A5:A44,"&lt;&gt;",'1. Fuentes'!H5:H44,"")</f>
        <v/>
      </c>
    </row>
    <row r="11">
      <c r="A11" s="11" t="inlineStr">
        <is>
          <t>Fuentes con personas identificables o texto libre</t>
        </is>
      </c>
      <c r="B11" s="12">
        <f>COUNTIF('1. Fuentes'!I5:I44,"Personas identificables")+COUNTIF('1. Fuentes'!I5:I44,"Texto libre sin revisar")</f>
        <v/>
      </c>
    </row>
    <row r="12">
      <c r="A12" s="11" t="inlineStr">
        <is>
          <t>Campos en el diccionario</t>
        </is>
      </c>
      <c r="B12" s="12">
        <f>COUNTA('2. Diccionario'!C5:C44)</f>
        <v/>
      </c>
    </row>
    <row r="13">
      <c r="A13" s="13" t="inlineStr">
        <is>
          <t xml:space="preserve">  · clasificados como sensibles o dato personal</t>
        </is>
      </c>
      <c r="B13" s="12">
        <f>COUNTIF('2. Diccionario'!K5:K44,"Sensible")+COUNTIF('2. Diccionario'!K5:K44,"Dato personal")</f>
        <v/>
      </c>
    </row>
    <row r="14">
      <c r="A14" s="13" t="inlineStr">
        <is>
          <t xml:space="preserve">  · sin pregunta del sistema asociada</t>
        </is>
      </c>
      <c r="B14" s="12">
        <f>COUNTIFS('2. Diccionario'!C5:C44,"&lt;&gt;",'2. Diccionario'!M5:M44,"")</f>
        <v/>
      </c>
    </row>
    <row r="15">
      <c r="A15" s="11" t="inlineStr">
        <is>
          <t>Encargos a la IA registrados</t>
        </is>
      </c>
      <c r="B15" s="12">
        <f>COUNTA('3. Bitácora IA'!C5:C44)</f>
        <v/>
      </c>
    </row>
    <row r="16">
      <c r="A16" s="13" t="inlineStr">
        <is>
          <t xml:space="preserve">  · con respuesta incorrecta o inventada</t>
        </is>
      </c>
      <c r="B16" s="12">
        <f>COUNTIF('3. Bitácora IA'!F5:F44,"Incorrecto")+COUNTIF('3. Bitácora IA'!F5:F44,"Inventado")</f>
        <v/>
      </c>
    </row>
    <row r="17">
      <c r="A17" s="11" t="inlineStr">
        <is>
          <t>Porcentaje de aciertos plenos de la IA</t>
        </is>
      </c>
      <c r="B17" s="14">
        <f>IF(B15=0,"-",COUNTIF('3. Bitácora IA'!F5:F44,"Correcto")/B15)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2026-09-28T11:22:59Z</dcterms:created>
  <dcterms:modified xmlns:dcterms="http://purl.org/dc/terms/" xmlns:xsi="http://www.w3.org/2001/XMLSchema-instance" xsi:type="dcterms:W3CDTF">2026-10-26T12:14:05Z</dcterms:modified>
  <cp:lastModifiedBy>Santiago Jimenez Londono</cp:lastModifiedBy>
</cp:coreProperties>
</file>